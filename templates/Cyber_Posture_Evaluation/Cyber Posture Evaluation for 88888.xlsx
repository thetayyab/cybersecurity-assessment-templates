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ayyab/Documents/Centropy/"/>
    </mc:Choice>
  </mc:AlternateContent>
  <xr:revisionPtr revIDLastSave="0" documentId="8_{B81F5232-9132-2649-A335-32F4CA262127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Project" sheetId="4" r:id="rId1"/>
    <sheet name="Version Control" sheetId="2" r:id="rId2"/>
    <sheet name="Questionnaire Template" sheetId="3" state="hidden" r:id="rId3"/>
    <sheet name="Questionnaire" sheetId="5" r:id="rId4"/>
    <sheet name="Results" sheetId="6" r:id="rId5"/>
  </sheets>
  <definedNames>
    <definedName name="_xlnm._FilterDatabase" localSheetId="3" hidden="1">Questionnaire!$A$2:$H$85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6" l="1"/>
  <c r="C254" i="5"/>
  <c r="C252" i="5"/>
  <c r="C251" i="5"/>
  <c r="C250" i="5"/>
  <c r="C249" i="5"/>
  <c r="C248" i="5"/>
  <c r="C246" i="5"/>
  <c r="C245" i="5"/>
  <c r="C244" i="5"/>
  <c r="C243" i="5"/>
  <c r="C242" i="5"/>
  <c r="C240" i="5"/>
  <c r="C239" i="5"/>
  <c r="C238" i="5"/>
  <c r="C237" i="5"/>
  <c r="C236" i="5"/>
  <c r="C234" i="5"/>
  <c r="C233" i="5"/>
  <c r="C232" i="5"/>
  <c r="C231" i="5"/>
  <c r="C230" i="5"/>
  <c r="C227" i="5"/>
  <c r="C226" i="5"/>
  <c r="C225" i="5"/>
  <c r="C224" i="5"/>
  <c r="C223" i="5"/>
  <c r="C221" i="5"/>
  <c r="C220" i="5"/>
  <c r="C219" i="5"/>
  <c r="C218" i="5"/>
  <c r="C217" i="5"/>
  <c r="C215" i="5"/>
  <c r="C214" i="5"/>
  <c r="C213" i="5"/>
  <c r="C212" i="5"/>
  <c r="C211" i="5"/>
  <c r="C209" i="5"/>
  <c r="C208" i="5"/>
  <c r="C207" i="5"/>
  <c r="C206" i="5"/>
  <c r="C203" i="5"/>
  <c r="C202" i="5"/>
  <c r="C201" i="5"/>
  <c r="C200" i="5"/>
  <c r="C199" i="5"/>
  <c r="C197" i="5"/>
  <c r="C196" i="5"/>
  <c r="C195" i="5"/>
  <c r="C194" i="5"/>
  <c r="C193" i="5"/>
  <c r="C191" i="5"/>
  <c r="C190" i="5"/>
  <c r="C189" i="5"/>
  <c r="C188" i="5"/>
  <c r="C187" i="5"/>
  <c r="C185" i="5"/>
  <c r="C184" i="5"/>
  <c r="C183" i="5"/>
  <c r="C182" i="5"/>
  <c r="C181" i="5"/>
  <c r="C178" i="5"/>
  <c r="C177" i="5"/>
  <c r="C176" i="5"/>
  <c r="C175" i="5"/>
  <c r="C174" i="5"/>
  <c r="C172" i="5"/>
  <c r="C171" i="5"/>
  <c r="C170" i="5"/>
  <c r="C169" i="5"/>
  <c r="C168" i="5"/>
  <c r="C166" i="5"/>
  <c r="C165" i="5"/>
  <c r="C164" i="5"/>
  <c r="C163" i="5"/>
  <c r="C162" i="5"/>
  <c r="C156" i="5"/>
  <c r="C160" i="5"/>
  <c r="C159" i="5"/>
  <c r="C158" i="5"/>
  <c r="C157" i="5"/>
  <c r="C153" i="5"/>
  <c r="C152" i="5"/>
  <c r="C151" i="5"/>
  <c r="C150" i="5"/>
  <c r="C149" i="5"/>
  <c r="C147" i="5"/>
  <c r="C146" i="5"/>
  <c r="C145" i="5"/>
  <c r="C144" i="5"/>
  <c r="C143" i="5"/>
  <c r="C141" i="5"/>
  <c r="C140" i="5"/>
  <c r="C139" i="5"/>
  <c r="C138" i="5"/>
  <c r="C137" i="5"/>
  <c r="C135" i="5"/>
  <c r="C134" i="5"/>
  <c r="C133" i="5"/>
  <c r="C132" i="5"/>
  <c r="C131" i="5"/>
  <c r="C128" i="5"/>
  <c r="C127" i="5"/>
  <c r="C126" i="5"/>
  <c r="C125" i="5"/>
  <c r="C124" i="5"/>
  <c r="C122" i="5"/>
  <c r="C121" i="5"/>
  <c r="C120" i="5"/>
  <c r="C119" i="5"/>
  <c r="C118" i="5"/>
  <c r="C116" i="5"/>
  <c r="C115" i="5"/>
  <c r="C114" i="5"/>
  <c r="C113" i="5"/>
  <c r="C112" i="5"/>
  <c r="C110" i="5"/>
  <c r="C109" i="5"/>
  <c r="C108" i="5"/>
  <c r="C107" i="5"/>
  <c r="C106" i="5"/>
  <c r="C103" i="5"/>
  <c r="C102" i="5"/>
  <c r="C101" i="5"/>
  <c r="C100" i="5"/>
  <c r="C99" i="5"/>
  <c r="C97" i="5"/>
  <c r="C96" i="5"/>
  <c r="C95" i="5"/>
  <c r="C94" i="5"/>
  <c r="C93" i="5"/>
  <c r="C91" i="5"/>
  <c r="C90" i="5"/>
  <c r="C89" i="5"/>
  <c r="C88" i="5"/>
  <c r="C87" i="5"/>
  <c r="C85" i="5"/>
  <c r="C84" i="5"/>
  <c r="C83" i="5"/>
  <c r="C82" i="5"/>
  <c r="C81" i="5"/>
  <c r="C78" i="5"/>
  <c r="C77" i="5"/>
  <c r="C76" i="5"/>
  <c r="C75" i="5"/>
  <c r="C74" i="5"/>
  <c r="C72" i="5"/>
  <c r="C71" i="5"/>
  <c r="C70" i="5"/>
  <c r="C69" i="5"/>
  <c r="C68" i="5"/>
  <c r="C66" i="5"/>
  <c r="C65" i="5"/>
  <c r="C64" i="5"/>
  <c r="C63" i="5"/>
  <c r="C62" i="5"/>
  <c r="C60" i="5"/>
  <c r="C59" i="5"/>
  <c r="C58" i="5"/>
  <c r="C57" i="5"/>
  <c r="C56" i="5"/>
  <c r="C53" i="5"/>
  <c r="C52" i="5"/>
  <c r="C51" i="5"/>
  <c r="C50" i="5"/>
  <c r="C49" i="5"/>
  <c r="C47" i="5"/>
  <c r="C46" i="5"/>
  <c r="C45" i="5"/>
  <c r="C44" i="5"/>
  <c r="C43" i="5"/>
  <c r="C41" i="5"/>
  <c r="C40" i="5"/>
  <c r="C39" i="5"/>
  <c r="C38" i="5"/>
  <c r="C37" i="5"/>
  <c r="C35" i="5"/>
  <c r="C34" i="5"/>
  <c r="C33" i="5"/>
  <c r="C32" i="5"/>
  <c r="C31" i="5"/>
  <c r="C28" i="5"/>
  <c r="C27" i="5"/>
  <c r="C26" i="5"/>
  <c r="C25" i="5"/>
  <c r="C24" i="5"/>
  <c r="C22" i="5"/>
  <c r="C21" i="5"/>
  <c r="C20" i="5"/>
  <c r="C19" i="5"/>
  <c r="C18" i="5"/>
  <c r="C16" i="5"/>
  <c r="C15" i="5"/>
  <c r="C14" i="5"/>
  <c r="C13" i="5"/>
  <c r="C12" i="5"/>
  <c r="C10" i="5"/>
  <c r="C9" i="5"/>
  <c r="C8" i="5"/>
  <c r="C7" i="5"/>
  <c r="C6" i="5"/>
  <c r="C5" i="5"/>
  <c r="F1" i="6" l="1"/>
  <c r="C253" i="5"/>
  <c r="C255" i="5" l="1"/>
  <c r="F15" i="6"/>
  <c r="J1" i="6" s="1"/>
</calcChain>
</file>

<file path=xl/sharedStrings.xml><?xml version="1.0" encoding="utf-8"?>
<sst xmlns="http://schemas.openxmlformats.org/spreadsheetml/2006/main" count="560" uniqueCount="545">
  <si>
    <t>Company Name</t>
  </si>
  <si>
    <t>Department</t>
  </si>
  <si>
    <t>Department Owner</t>
  </si>
  <si>
    <t>Assessment Date</t>
  </si>
  <si>
    <t>Update Date</t>
  </si>
  <si>
    <t>Name of Assessor</t>
  </si>
  <si>
    <t>To be completed internally</t>
  </si>
  <si>
    <t>Function</t>
  </si>
  <si>
    <t>Yes / No / NA</t>
  </si>
  <si>
    <t>Implementation Details</t>
  </si>
  <si>
    <t>Risk Severity</t>
  </si>
  <si>
    <t>Risk Treatment</t>
  </si>
  <si>
    <t>Treatment Plan Details</t>
  </si>
  <si>
    <t>Risk Owner</t>
  </si>
  <si>
    <t>1. Govern (GV)</t>
  </si>
  <si>
    <t>1.1 Organizational Context (GV.OC)</t>
  </si>
  <si>
    <t>1.1.0 Does your organization have a documented understanding of its mission, stakeholders, and dependencies related to cybersecurity risk management?</t>
  </si>
  <si>
    <t>1.1.1 Are critical objectives, capabilities, and services that external stakeholders expect from the organization well-defined and communicated?</t>
  </si>
  <si>
    <t>1.1.2 How often are stakeholder expectations and regulatory requirements reviewed and updated?</t>
  </si>
  <si>
    <t>1.1.3 Can you provide documentation of how cybersecurity risks are integrated with your overall enterprise risk management processes?</t>
  </si>
  <si>
    <t>1.1.4 Do you conduct regular reviews of your cybersecurity risk management strategy to ensure alignment with organizational objectives?</t>
  </si>
  <si>
    <t>1.1.5 Are the legal, regulatory, and contractual requirements related to cybersecurity understood and managed effectively?</t>
  </si>
  <si>
    <t>1.1.6 How does your organization communicate the significance of cybersecurity risk management to all relevant stakeholders?</t>
  </si>
  <si>
    <t>1.1.7 Is there a process in place to evaluate the impact of new regulations on your cybersecurity risk management practices?</t>
  </si>
  <si>
    <t>1.1.8 Are there documented dependencies on external partners or vendors that could affect your organization's cybersecurity posture?</t>
  </si>
  <si>
    <t>1.1.9 How does your organization address cybersecurity risks related to its critical supply chain dependencies?</t>
  </si>
  <si>
    <t>1.2 Risk Management Strategy (GV.RM)</t>
  </si>
  <si>
    <t>1.2.0 Has your organization established a risk management strategy that includes specific cybersecurity risk management objectives?</t>
  </si>
  <si>
    <t>1.2.1 Are risk appetite and tolerance levels documented, communicated, and maintained?</t>
  </si>
  <si>
    <t>1.2.2 How is cybersecurity risk integrated with other forms of enterprise risk management?</t>
  </si>
  <si>
    <t>1.2.3 Are strategic opportunities (positive risks) related to cybersecurity identified and discussed in organizational risk management meetings?</t>
  </si>
  <si>
    <t>1.2.4 How often is the risk management strategy reviewed and updated?</t>
  </si>
  <si>
    <t>1.2.5 Is there a standardized method for calculating and prioritizing cybersecurity risks across the organization?</t>
  </si>
  <si>
    <t>1.2.6 Are the lines of communication across the organization well-established for discussing cybersecurity risks, including those from suppliers and third parties?</t>
  </si>
  <si>
    <t>1.2.7 Do you have a documented process for managing risks that do not fall within the organization’s risk tolerance levels?</t>
  </si>
  <si>
    <t>1.2.8 Are there clear criteria for accepting, mitigating, or transferring cybersecurity risks?</t>
  </si>
  <si>
    <t>1.2.9 Are all stakeholders involved in discussions about risk management strategies and updates?</t>
  </si>
  <si>
    <t>1.3 Roles, Responsibilities, and Authorities (GV.RR)</t>
  </si>
  <si>
    <t>1.3.0 Are cybersecurity roles, responsibilities, and authorities clearly defined, communicated, and enforced within the organization?</t>
  </si>
  <si>
    <t>1.3.1 Does your organization have a policy for assigning and managing cybersecurity roles and responsibilities?</t>
  </si>
  <si>
    <t>1.3.2 Are the roles and responsibilities for cybersecurity integrated with human resources practices?</t>
  </si>
  <si>
    <t>1.3.3 Are there regular reviews to ensure that cybersecurity roles and responsibilities are current and aligned with evolving risks?</t>
  </si>
  <si>
    <t>1.3.4 Does your organization have a clear accountability framework for cybersecurity risk management?</t>
  </si>
  <si>
    <t>1.3.5 Are resources allocated adequately to support cybersecurity roles and responsibilities?</t>
  </si>
  <si>
    <t>1.3.6 Are training and development programs available to ensure that personnel are competent in their cybersecurity roles?</t>
  </si>
  <si>
    <t>1.3.7 Are there processes in place to assess the performance of individuals in cybersecurity roles?</t>
  </si>
  <si>
    <t>1.3.8 How does your organization ensure that cybersecurity roles and responsibilities are understood by all employees?</t>
  </si>
  <si>
    <t>1.3.9 Are there specific cybersecurity roles defined for managing third-party and supply chain risks?</t>
  </si>
  <si>
    <t>1.4 Policy (GV.PO)</t>
  </si>
  <si>
    <t>1.4.0 Does your organization have a comprehensive cybersecurity policy that addresses risk management, privacy, and compliance requirements?</t>
  </si>
  <si>
    <t>1.4.1 How frequently is the cybersecurity policy reviewed and updated?</t>
  </si>
  <si>
    <t>1.4.2 Is the policy communicated to all employees and relevant stakeholders effectively?</t>
  </si>
  <si>
    <t>1.4.3 Does the policy outline the procedures for managing cybersecurity incidents and breaches?</t>
  </si>
  <si>
    <t>1.4.4 Are there specific policies for managing third-party and vendor cybersecurity risks?</t>
  </si>
  <si>
    <t>1.4.5 Are policy updates aligned with changes in the threat landscape, technology, and regulatory requirements?</t>
  </si>
  <si>
    <t>1.4.6 Is there a policy for regularly training staff on cybersecurity practices and compliance requirements?</t>
  </si>
  <si>
    <t>1.4.7 Are policies enforced through automated tools or manual checks?</t>
  </si>
  <si>
    <t>1.4.8 Are there documented exceptions to the policy, and how are they managed?</t>
  </si>
  <si>
    <t>1.4.9 Are all employees required to acknowledge their understanding and compliance with the cybersecurity policy?</t>
  </si>
  <si>
    <t>1.5 Oversight (GV.OV)</t>
  </si>
  <si>
    <t>1.5.0 Are there formal processes for overseeing and evaluating cybersecurity risk management activities?</t>
  </si>
  <si>
    <t>1.5.1 How does your organization review the effectiveness of its cybersecurity strategies and adjust them as needed?</t>
  </si>
  <si>
    <t>1.5.2 Are there defined metrics for measuring the performance of cybersecurity risk management activities?</t>
  </si>
  <si>
    <t>1.5.3 How often is the oversight of cybersecurity practices reviewed for effectiveness?</t>
  </si>
  <si>
    <t>1.5.4 Are cybersecurity risk management outcomes used to inform strategic decision-making?</t>
  </si>
  <si>
    <t>1.5.5 Are there regular meetings or committees dedicated to cybersecurity oversight?</t>
  </si>
  <si>
    <t>1.5.6 Are third-party assessments or audits conducted to ensure effective cybersecurity oversight?</t>
  </si>
  <si>
    <t>1.5.7 Is there a formal process for reporting cybersecurity performance to executive leadership and the board?</t>
  </si>
  <si>
    <t>1.5.8 Are there mechanisms for incorporating lessons learned from past incidents into oversight processes?</t>
  </si>
  <si>
    <t>1.5.9 How does your organization ensure that cybersecurity oversight is integrated with overall corporate governance?</t>
  </si>
  <si>
    <t>1.6 Cybersecurity Supply Chain Risk Management (GV.SC)</t>
  </si>
  <si>
    <t>1.6.0 Is there a documented program for managing cybersecurity risks associated with the supply chain?</t>
  </si>
  <si>
    <t>1.6.1 Are roles and responsibilities for suppliers, customers, and partners clearly defined and coordinated?</t>
  </si>
  <si>
    <t>1.6.2 Are there criteria for assessing the cybersecurity posture of suppliers and third parties?</t>
  </si>
  <si>
    <t>1.6.3 How often are supplier cybersecurity risks assessed and monitored?</t>
  </si>
  <si>
    <t>1.6.4 Are suppliers required to comply with specific cybersecurity standards or frameworks?</t>
  </si>
  <si>
    <t>1.6.5 How does your organization manage cybersecurity risks posed by software and hardware supply chains?</t>
  </si>
  <si>
    <t>1.6.6 Are there procedures for addressing incidents that involve suppliers or partners?</t>
  </si>
  <si>
    <t>1.6.7 Do you include cybersecurity requirements in contracts with suppliers and third parties?</t>
  </si>
  <si>
    <t>1.6.8 Are suppliers included in your incident response planning and exercises?</t>
  </si>
  <si>
    <t>1.6.9 How does your organization ensure continuous monitoring and improvement of supply chain cybersecurity practices?</t>
  </si>
  <si>
    <t>2. Identify (ID)</t>
  </si>
  <si>
    <t>2.1 Asset Management (ID.AM)</t>
  </si>
  <si>
    <t>2.1.0 Do you have a policy for inventorizing information system components?</t>
  </si>
  <si>
    <t>2.1.1 Can you provide documentation outlining this policy?</t>
  </si>
  <si>
    <t>2.1.2 Do you have a process for tracking inventory of physical devices?</t>
  </si>
  <si>
    <t>2.1.3 Are inventories of hardware, software, and data maintained and updated regularly?</t>
  </si>
  <si>
    <t>2.1.4 Are there procedures for identifying and classifying critical assets?</t>
  </si>
  <si>
    <t>2.1.5 Is there a system for mapping network data flows and communications?</t>
  </si>
  <si>
    <t>2.1.6 How often are asset inventories reviewed and updated?</t>
  </si>
  <si>
    <t>2.1.7 Are there automated tools for managing asset inventories?</t>
  </si>
  <si>
    <t>2.1.8 Do you maintain a list of services provided by third-party vendors and their associated risks?</t>
  </si>
  <si>
    <t>2.1.9 Are there policies in place for the lifecycle management of assets, including decommissioning and disposal?</t>
  </si>
  <si>
    <t>2.2 Risk Assessment (ID.RA)</t>
  </si>
  <si>
    <t>2.2.0 How does your organization identify and record vulnerabilities in assets?</t>
  </si>
  <si>
    <t>2.2.1 Do you receive and incorporate cyber threat intelligence from reliable sources?</t>
  </si>
  <si>
    <t>2.2.2 Are internal and external threats regularly assessed and documented?</t>
  </si>
  <si>
    <t>2.2.3 Are risk assessments conducted periodically to identify potential impacts of vulnerabilities?</t>
  </si>
  <si>
    <t>2.2.4 Do you have a process for correlating risks with business impact and likelihood?</t>
  </si>
  <si>
    <t>2.2.5 How often is your risk assessment methodology reviewed and updated?</t>
  </si>
  <si>
    <t>2.2.6 Are third-party risk assessments integrated into your overall risk assessment process?</t>
  </si>
  <si>
    <t>2.2.7 Are risk assessment results communicated to relevant stakeholders?</t>
  </si>
  <si>
    <t>2.2.8 Are risk scenarios, including emerging threats, considered in the assessment process?</t>
  </si>
  <si>
    <t>2.2.9 Is there a standardized method for calculating risk exposure?</t>
  </si>
  <si>
    <t>2.3 Improvement (ID.IM)</t>
  </si>
  <si>
    <t>2.3.0 How does your organization identify improvements in cybersecurity risk management processes?</t>
  </si>
  <si>
    <t>2.3.1 Are lessons learned from security incidents and exercises used to improve processes?</t>
  </si>
  <si>
    <t>2.3.2 How often are improvement activities reviewed and updated?</t>
  </si>
  <si>
    <t>2.3.3 Are there formal processes for collecting feedback on cybersecurity practices?</t>
  </si>
  <si>
    <t>2.3.4 How do you track the implementation of identified improvements?</t>
  </si>
  <si>
    <t>2.3.5 Are continuous improvement practices integrated with third-party risk management?</t>
  </si>
  <si>
    <t>2.3.6 Are there mechanisms for testing the effectiveness of improvements made?</t>
  </si>
  <si>
    <t>2.3.7 Do you involve stakeholders in the improvement process?</t>
  </si>
  <si>
    <t>2.3.8 How do you ensure improvements align with organizational objectives?</t>
  </si>
  <si>
    <t>2.3.9 Is there a dedicated team or function responsible for driving continuous improvement?</t>
  </si>
  <si>
    <t>3. Protect (PR)</t>
  </si>
  <si>
    <t>3.1 Identity Management, Authentication, and Access Control (PR.AA)</t>
  </si>
  <si>
    <t>3.1.0 Are identities and credentials for authorized users, services, and hardware managed and verified by the organization?</t>
  </si>
  <si>
    <t>3.1.1 Do you enforce role-based access control (RBAC) and ensure that access is based on the principle of least privilege?</t>
  </si>
  <si>
    <t>3.1.2 What measures are in place to manage physical access to assets?</t>
  </si>
  <si>
    <t>3.1.3 Are multi-factor authentication methods required for accessing critical systems?</t>
  </si>
  <si>
    <t>3.1.4 Is there a process for revoking access for terminated or inactive users?</t>
  </si>
  <si>
    <t>3.1.5 Do you regularly audit access controls to ensure compliance with policies?</t>
  </si>
  <si>
    <t>3.1.6 Are there automated tools for managing identity and access controls?</t>
  </si>
  <si>
    <t>3.1.7 Is there a policy for managing third-party access to information systems?</t>
  </si>
  <si>
    <t>3.1.8 Are temporary access permissions regularly reviewed and removed when no longer needed?</t>
  </si>
  <si>
    <t>3.1.9 Do you implement zero-trust principles in your access control strategies?</t>
  </si>
  <si>
    <t>3.2 Awareness and Training (PR.AT)</t>
  </si>
  <si>
    <t>3.2.0 Are all personnel provided with cybersecurity awareness training to understand their roles and responsibilities?</t>
  </si>
  <si>
    <t>3.2.1 Do you provide specialized training for roles with specific cybersecurity responsibilities?</t>
  </si>
  <si>
    <t>3.2.2 How often is cybersecurity training updated and evaluated for effectiveness?</t>
  </si>
  <si>
    <t>3.2.3 Are there metrics to measure the effectiveness of cybersecurity awareness programs?</t>
  </si>
  <si>
    <t>3.2.4 Is there a policy for training new employees within their first month of employment?</t>
  </si>
  <si>
    <t>3.2.5 Do you conduct phishing simulations to test employee awareness?</t>
  </si>
  <si>
    <t>3.2.6 Are third-party vendors required to undergo cybersecurity awareness training?</t>
  </si>
  <si>
    <t>3.2.7 Are training materials regularly updated to reflect current threats and best practices?</t>
  </si>
  <si>
    <t>3.2.8 Do you have a process for certifying employees who complete cybersecurity training?</t>
  </si>
  <si>
    <t>3.2.9 Are training results analyzed to identify areas for improvement?</t>
  </si>
  <si>
    <t>3.3 Data Security (PR.DS)</t>
  </si>
  <si>
    <t>3.3.0 What methods are used to protect data at rest and in transit?</t>
  </si>
  <si>
    <t>3.3.1 Are encryption technologies employed for sensitive information?</t>
  </si>
  <si>
    <t>3.3.2 How is the confidentiality, integrity, and availability of data ensured?</t>
  </si>
  <si>
    <t>3.3.3 Do you have a policy for managing cryptographic keys?</t>
  </si>
  <si>
    <t>3.3.4 How often are data security policies reviewed and updated?</t>
  </si>
  <si>
    <t>3.3.5 Are there measures in place to monitor and prevent unauthorized access to data?</t>
  </si>
  <si>
    <t>3.3.6 Are data backup and recovery procedures in place and tested regularly?</t>
  </si>
  <si>
    <t>3.3.7 Is data security extended to cloud and third-party storage solutions?</t>
  </si>
  <si>
    <t>3.3.8 How are access controls enforced for data storage systems?</t>
  </si>
  <si>
    <t>3.3.9 Are data retention and disposal policies aligned with regulatory requirements?</t>
  </si>
  <si>
    <t>3.4 Platform Security (PR.PS)</t>
  </si>
  <si>
    <t>3.4.0 Do you have secure configuration management practices in place for hardware and software?</t>
  </si>
  <si>
    <t>3.4.1 How are unauthorized software and hardware managed or prevented?</t>
  </si>
  <si>
    <t>3.4.2 Is there a policy in place for maintaining secure software development practices?</t>
  </si>
  <si>
    <t>3.4.3 Are software updates and patches applied in a timely manner?</t>
  </si>
  <si>
    <t>3.4.4 How often are platform security configurations audited for compliance?</t>
  </si>
  <si>
    <t>3.4.5 Do you use tools to automate configuration management and monitoring?</t>
  </si>
  <si>
    <t>3.4.6 Are there processes for verifying the authenticity and integrity of hardware and software before use?</t>
  </si>
  <si>
    <t>3.4.7 Are there measures in place to prevent the installation and execution of unauthorized software?</t>
  </si>
  <si>
    <t>3.4.8 How do you ensure secure configurations are maintained throughout the hardware and software lifecycle?</t>
  </si>
  <si>
    <t>3.4.9 Are there regular reviews and updates to platform security policies and procedures?</t>
  </si>
  <si>
    <t>3.5 Technology Infrastructure Resilience (PR.IR)</t>
  </si>
  <si>
    <t>3.5.0 How do you protect networks and technology environments from unauthorized access and environmental threats?</t>
  </si>
  <si>
    <t>3.5.1 Are resilience mechanisms, such as redundancy and failover systems, in place to ensure continued operations during an incident?</t>
  </si>
  <si>
    <t>3.5.2 Do you regularly test your technology infrastructure to assess its resilience against potential threats?</t>
  </si>
  <si>
    <t>3.5.3 Are there clear procedures for maintaining the availability of critical infrastructure during disruptions?</t>
  </si>
  <si>
    <t>3.5.4 How do you manage capacity to ensure adequate resources for critical systems?</t>
  </si>
  <si>
    <t>3.5.5 Are there documented processes for disaster recovery and continuity of operations?</t>
  </si>
  <si>
    <t>3.5.6 Are all infrastructure components monitored for indicators of potential failure or compromise?</t>
  </si>
  <si>
    <t>3.5.7 How do you handle changes in the technology environment to ensure resilience?</t>
  </si>
  <si>
    <t>3.5.8 Are emergency response teams trained and prepared to handle infrastructure failures?</t>
  </si>
  <si>
    <t>3.5.9 Do you have a roadmap for improving infrastructure resilience based on current and emerging threats?</t>
  </si>
  <si>
    <t>4. Detect (DE)</t>
  </si>
  <si>
    <t>4.1 Continuous Monitoring (DE.CM)</t>
  </si>
  <si>
    <t>4.1.0 Are networks, systems, and network services continuously monitored for signs of potential cybersecurity incidents?</t>
  </si>
  <si>
    <t>4.1.1 Do you monitor all communication across the IT boundary to detect unauthorized or suspicious activities?</t>
  </si>
  <si>
    <t>4.1.2 Are automated tools used to continuously monitor network traffic and detect anomalies?</t>
  </si>
  <si>
    <t>4.1.3 How do you prioritize specific events or transactions in your monitoring efforts?</t>
  </si>
  <si>
    <t>4.1.4 Is there a documented process for discovering indicators of compromise and indicators of attacks?</t>
  </si>
  <si>
    <t>4.1.5 How frequently is monitoring data reviewed and analyzed to identify trends or emerging threats?</t>
  </si>
  <si>
    <t>4.1.6 Are third-party networks and services included in your continuous monitoring efforts?</t>
  </si>
  <si>
    <t>4.1.7 What criteria are used to determine when an alert should be escalated for further investigation?</t>
  </si>
  <si>
    <t>4.1.8 Are staff promptly alerted to new and ongoing cyber threats detected by monitoring systems?</t>
  </si>
  <si>
    <t>4.1.9 Do you use threat intelligence to enhance your monitoring efforts?</t>
  </si>
  <si>
    <t>4.2 Adverse Event Analysis (DE.AE)</t>
  </si>
  <si>
    <t>4.2.0 How are potentially adverse events analyzed to understand their impact and scope?</t>
  </si>
  <si>
    <t>4.2.1 Are there automated tools or systems in place to correlate information from multiple sources during an event analysis?</t>
  </si>
  <si>
    <t>4.2.2 What is the process for integrating cyber threat intelligence into the analysis of adverse events?</t>
  </si>
  <si>
    <t>4.2.3 Are roles and responsibilities clearly defined for staff involved in event analysis?</t>
  </si>
  <si>
    <t>4.2.4 Do you have a process for assessing the likelihood and potential impact of detected anomalies?</t>
  </si>
  <si>
    <t>4.2.5 Are adverse events logged and tracked to identify patterns or recurrent issues?</t>
  </si>
  <si>
    <t>4.2.6 How often are event analysis procedures reviewed and updated?</t>
  </si>
  <si>
    <t>4.2.7 Are there established criteria for declaring an event a cybersecurity incident based on the analysis?</t>
  </si>
  <si>
    <t>4.2.8 How do you ensure that all relevant data is collected and preserved during an event analysis?</t>
  </si>
  <si>
    <t>4.2.9 Are lessons learned from event analysis incorporated into incident response planning?</t>
  </si>
  <si>
    <t>5. Respond (RS)</t>
  </si>
  <si>
    <t>5.1 Incident Management (RS.MA)</t>
  </si>
  <si>
    <t>5.1.0 Is there a documented incident response plan that outlines procedures for managing cybersecurity incidents?</t>
  </si>
  <si>
    <t>5.1.1 Are incidents categorized, prioritized, and escalated based on predefined criteria?</t>
  </si>
  <si>
    <t>5.1.2 Do you have a dedicated team or third-party provider for managing cybersecurity incidents?</t>
  </si>
  <si>
    <t>5.1.3 How are incident response procedures tested and updated to ensure they are effective?</t>
  </si>
  <si>
    <t>5.1.4 Are incident response activities coordinated with internal and external stakeholders?</t>
  </si>
  <si>
    <t>5.1.5 Are communication protocols clearly defined for notifying stakeholders during an incident?</t>
  </si>
  <si>
    <t>5.1.6 How do you document and retain evidence during incident management for potential legal or regulatory needs?</t>
  </si>
  <si>
    <t>5.1.7 Are there specific procedures for handling incidents involving third-party vendors or partners?</t>
  </si>
  <si>
    <t>5.1.8 Is there a process for conducting a post-incident review to assess the effectiveness of the response?</t>
  </si>
  <si>
    <t>5.1.9 How often is the incident response plan reviewed and updated to reflect changes in the threat landscape?</t>
  </si>
  <si>
    <t>5.2 Incident Analysis (RS.AN)</t>
  </si>
  <si>
    <t>5.2.0 Are investigations conducted following incidents to determine their root causes and impacts?</t>
  </si>
  <si>
    <t>5.2.1 How are incident data and metadata collected and preserved during an investigation?</t>
  </si>
  <si>
    <t>5.2.2 Are there criteria for escalating incidents to higher authorities or external parties?</t>
  </si>
  <si>
    <t>5.2.3 Are incident response teams trained in forensic analysis to support investigations?</t>
  </si>
  <si>
    <t>5.2.4 How is the information from incident investigations used to improve cybersecurity defenses?</t>
  </si>
  <si>
    <t>5.2.5 Are there predefined timelines for conducting and completing incident investigations?</t>
  </si>
  <si>
    <t>5.2.6 How is the accuracy and integrity of incident investigation data ensured?</t>
  </si>
  <si>
    <t>5.2.7 Are there mechanisms for correlating data from multiple incidents to identify patterns?</t>
  </si>
  <si>
    <t>5.2.8 Do you integrate insights from threat intelligence sources into your incident analysis?</t>
  </si>
  <si>
    <t>5.2.9 How often are incident analysis procedures reviewed and refined?</t>
  </si>
  <si>
    <t>5.3 Incident Response Reporting and Communication (RS.CO)</t>
  </si>
  <si>
    <t>5.3.0 Are there documented procedures for communicating with internal and external stakeholders during and after an incident?</t>
  </si>
  <si>
    <t>5.3.1 Are reports generated for every incident, and who are they distributed to?</t>
  </si>
  <si>
    <t>5.3.2 How do you ensure that sensitive information is protected during incident communications?</t>
  </si>
  <si>
    <t>5.3.3 Is there a clear process for notifying affected parties, including customers and regulators, in a timely manner?</t>
  </si>
  <si>
    <t>5.3.4 Are incident response reports analyzed to identify areas for improvement in communication protocols?</t>
  </si>
  <si>
    <t>5.3.5 Are communication channels tested regularly to ensure they remain secure and reliable?</t>
  </si>
  <si>
    <t>5.3.6 How do you manage the communication flow between the incident response team and executive management?</t>
  </si>
  <si>
    <t>5.3.7 Are there predefined templates and guidelines for reporting different types of incidents?</t>
  </si>
  <si>
    <t>5.3.8 How do you ensure consistent and accurate messaging across all stakeholders?</t>
  </si>
  <si>
    <t>5.3.9 Are lessons learned from communication efforts documented and used to improve future incident response plans?</t>
  </si>
  <si>
    <t>5.4 Incident Mitigation (RS.MI)</t>
  </si>
  <si>
    <t>5.4.0 What steps are taken to contain incidents and prevent them from escalating?</t>
  </si>
  <si>
    <t>5.4.1 Are mitigation strategies predefined for different types of incidents?</t>
  </si>
  <si>
    <t>5.4.2 How do you assess the effectiveness of mitigation actions taken during an incident?</t>
  </si>
  <si>
    <t>5.4.3 Are there criteria for deciding when an incident has been adequately mitigated?</t>
  </si>
  <si>
    <t>5.4.4 Do you conduct regular training and exercises to test incident mitigation strategies?</t>
  </si>
  <si>
    <t>5.4.5 Are third-party vendors involved in incident mitigation activities?</t>
  </si>
  <si>
    <t>5.4.6 How do you document mitigation activities for compliance and future reference?</t>
  </si>
  <si>
    <t>5.4.7 Are there automated tools to assist in mitigating cybersecurity incidents?</t>
  </si>
  <si>
    <t>5.4.8 How do you coordinate mitigation efforts with business continuity and disaster recovery plans?</t>
  </si>
  <si>
    <t>5.4.9 Are mitigation actions reviewed to identify opportunities for improvement?</t>
  </si>
  <si>
    <t>6. Recover (RC)</t>
  </si>
  <si>
    <t>6.1 Incident Recovery Plan Execution (RC.RP)</t>
  </si>
  <si>
    <t>6.1.0 Is there a recovery plan in place to restore operations affected by cybersecurity incidents?</t>
  </si>
  <si>
    <t>6.1.1 How often is the recovery plan tested and updated to ensure its effectiveness?</t>
  </si>
  <si>
    <t>6.1.2 Are there criteria for prioritizing recovery activities during an incident?</t>
  </si>
  <si>
    <t>6.1.3 How do you verify the success of recovery efforts and the integrity of restored data?</t>
  </si>
  <si>
    <t>6.1.4 Are stakeholders involved in recovery planning and execution?</t>
  </si>
  <si>
    <t>6.1.5 How do you coordinate recovery efforts with third-party vendors and partners?</t>
  </si>
  <si>
    <t>6.1.6 Is there a process for tracking and documenting all recovery activities?</t>
  </si>
  <si>
    <t>6.1.7 Are there predefined timelines for executing recovery actions based on incident severity?</t>
  </si>
  <si>
    <t>6.1.8 How do you ensure that recovery plans are aligned with business continuity and disaster recovery plans?</t>
  </si>
  <si>
    <t>6.1.9 Are recovery efforts reviewed to identify lessons learned and areas for improvement?</t>
  </si>
  <si>
    <t>6.2 Incident Recovery Communication (RC.CO)</t>
  </si>
  <si>
    <t>6.2.0 How do you coordinate recovery activities with internal and external parties, such as coordinating centers, ISPs, and vendors?</t>
  </si>
  <si>
    <t>6.2.1 What is your process for communicating recovery progress to stakeholders, including customers and regulatory bodies?</t>
  </si>
  <si>
    <t>6.2.2 Are communication plans regularly tested to ensure effectiveness during recovery efforts?</t>
  </si>
  <si>
    <t>6.2.3 How do you ensure the reliability of communication channels during recovery?</t>
  </si>
  <si>
    <t>6.2.4 Are there predefined templates for communicating different types of recovery efforts?</t>
  </si>
  <si>
    <t>6.2.5 How do you manage expectations and provide updates to stakeholders during a prolonged recovery process?</t>
  </si>
  <si>
    <t>6.2.6 Are there clear guidelines for engaging with law enforcement or regulatory bodies during recovery?</t>
  </si>
  <si>
    <t>6.2.7 How do you document all communication efforts during recovery for future reference?</t>
  </si>
  <si>
    <t>6.2.8 Are there specific recovery communication strategies for incidents involving third-party vendors?</t>
  </si>
  <si>
    <t>6.2.9 How are lessons learned from recovery communication efforts incorporated into future plans?</t>
  </si>
  <si>
    <t>Project Name</t>
  </si>
  <si>
    <t>Purpose</t>
  </si>
  <si>
    <t>Instructions</t>
  </si>
  <si>
    <t>Please answer each question on the next sheet using the dropdown options. The results will help identify strengths, weaknesses, and priority areas for improvement.</t>
  </si>
  <si>
    <t>Audience</t>
  </si>
  <si>
    <t>Assessment Format</t>
  </si>
  <si>
    <t>Self-assessment using Yes / Partial / No / Not Sure answers. Each response contributes to an overall security posture rating.</t>
  </si>
  <si>
    <t>Confidentiality</t>
  </si>
  <si>
    <t>This document is confidential and intended for internal use only.</t>
  </si>
  <si>
    <t>Prepared By</t>
  </si>
  <si>
    <t>Contact Info</t>
  </si>
  <si>
    <t>Tayyab Hameed</t>
  </si>
  <si>
    <t>Educational institutions (e.g., schools, colleges, universities)</t>
  </si>
  <si>
    <t>b</t>
  </si>
  <si>
    <t>To be completed by the client</t>
  </si>
  <si>
    <t>1. Governance &amp; Cyber Awareness</t>
  </si>
  <si>
    <t>1.1 Policy &amp; Compliance</t>
  </si>
  <si>
    <t>1.2 Roles &amp; Responsibilities</t>
  </si>
  <si>
    <t>1.3 Cybersecurity Awareness Training</t>
  </si>
  <si>
    <t>1.4 Security Program Maturity</t>
  </si>
  <si>
    <t>2. Identity &amp; Access Management</t>
  </si>
  <si>
    <t>2.1 Staff Access Control</t>
  </si>
  <si>
    <t>2.2 Student Account Management</t>
  </si>
  <si>
    <t>2.3 Privileged Account Management</t>
  </si>
  <si>
    <t>2.4 MFA &amp; Authentication Standards</t>
  </si>
  <si>
    <t>3. Data Protection &amp; Privacy</t>
  </si>
  <si>
    <t>3.1 Student/Staff Data Privacy</t>
  </si>
  <si>
    <t>3.2 Data Encryption (at rest/in transit)</t>
  </si>
  <si>
    <t>3.3 Backup &amp; Recovery</t>
  </si>
  <si>
    <t>3.4 Data Retention &amp; Disposal</t>
  </si>
  <si>
    <t>4. Network &amp; Infrastructure Security</t>
  </si>
  <si>
    <t>4.1 Firewall &amp; Segmentation</t>
  </si>
  <si>
    <t>4.2 Wi-Fi Security (Staff/Student/Guest)</t>
  </si>
  <si>
    <t>4.3 Network Monitoring &amp; Alerts</t>
  </si>
  <si>
    <t>4.4 Remote Access &amp; VPN Security</t>
  </si>
  <si>
    <t>5. Endpoint &amp; Device Security</t>
  </si>
  <si>
    <t>5.1 Device Hardening (Laptops, PCs)</t>
  </si>
  <si>
    <t>5.2 Antivirus / EDR Deployment</t>
  </si>
  <si>
    <t>5.3 BYOD Governance</t>
  </si>
  <si>
    <t>5.4 USB &amp; Peripheral Control</t>
  </si>
  <si>
    <t>6. Web &amp; Application Security</t>
  </si>
  <si>
    <t>6.1 Learning Management System (LMS)</t>
  </si>
  <si>
    <t>6.2 Admin Portals &amp; CMS</t>
  </si>
  <si>
    <t>6.3 Login Page Protection</t>
  </si>
  <si>
    <t>6.4 Plugin &amp; CMS Updates</t>
  </si>
  <si>
    <t>7. Cloud &amp; Third-Party Risk</t>
  </si>
  <si>
    <t>7.1 SaaS Tools (e.g., Google, M365)</t>
  </si>
  <si>
    <t>7.2 Public Cloud Storage Security</t>
  </si>
  <si>
    <t>7.3 Vendor Risk Management</t>
  </si>
  <si>
    <t>7.4 Third-Party App Approvals</t>
  </si>
  <si>
    <t>8. Incident Response &amp; Reporting</t>
  </si>
  <si>
    <t>8.1 Phishing &amp; Breach Handling</t>
  </si>
  <si>
    <t>8.2 Incident Response Plan</t>
  </si>
  <si>
    <t>8.3 Reporting Channels &amp; Escalation</t>
  </si>
  <si>
    <t>8.4 IR Awareness Among Staff</t>
  </si>
  <si>
    <t>9. Business Continuity &amp; Recovery</t>
  </si>
  <si>
    <t>9.1 Disaster Recovery Planning</t>
  </si>
  <si>
    <t>9.2 Backup Restoration Testing</t>
  </si>
  <si>
    <t>9.3 Ransomware Response Preparedness</t>
  </si>
  <si>
    <t>9.4 Pandemic/Outage Preparedness</t>
  </si>
  <si>
    <t>10. Physical Security &amp; Social Engineering</t>
  </si>
  <si>
    <t>10.1 Server Room Access Control</t>
  </si>
  <si>
    <t>10.2 Visitor Policies &amp; Badge Systems</t>
  </si>
  <si>
    <t>10.3 Physical Device Theft Protection</t>
  </si>
  <si>
    <t>10.4 Social Engineering Awareness (tailgating, phishing)</t>
  </si>
  <si>
    <t>Yes</t>
  </si>
  <si>
    <t>No</t>
  </si>
  <si>
    <t>1.1.0 Does your institution have a formal cybersecurity policy?</t>
  </si>
  <si>
    <t>1.1.1 Is the cybersecurity policy approved and reviewed by leadership?</t>
  </si>
  <si>
    <t>1.1.3 Are cybersecurity policies communicated to all relevant staff and departments?</t>
  </si>
  <si>
    <t>1.1.4 Are there separate policies for acceptable use, remote access, and data handling?</t>
  </si>
  <si>
    <t>1.1.5 Are the cybersecurity policies reviewed and updated at least annually?</t>
  </si>
  <si>
    <t>1.2.0 Is there a designated individual or team responsible for cybersecurity at your institution?</t>
  </si>
  <si>
    <t>1.2.1 Are cybersecurity responsibilities clearly assigned across departments?</t>
  </si>
  <si>
    <t>1.2.2 Do IT staff have defined roles in incident response and security oversight?</t>
  </si>
  <si>
    <t>1.2.3 Are non-IT staff aware of their responsibilities related to cybersecurity (e.g., reporting threats)?</t>
  </si>
  <si>
    <t>1.2.4 Is there a senior leader accountable for the overall cybersecurity strategy?</t>
  </si>
  <si>
    <t>1.3.0 Do staff receive cybersecurity awareness training at least once a year?</t>
  </si>
  <si>
    <t>1.3.1 Are students provided guidance on safe digital practices (e.g., phishing, password hygiene)?</t>
  </si>
  <si>
    <t>1.3.2 Is training tailored for different roles (e.g., IT staff vs. general staff vs. students)?</t>
  </si>
  <si>
    <t>1.3.3 Are new employees required to complete cybersecurity training during onboarding?</t>
  </si>
  <si>
    <t>1.3.4 Is the effectiveness of cybersecurity training evaluated (e.g., phishing simulations or quizzes)?</t>
  </si>
  <si>
    <t>1.4.0 Does your institution have a documented cybersecurity strategy or roadmap?</t>
  </si>
  <si>
    <t>1.4.1 Are cybersecurity goals aligned with institutional objectives (e.g., teaching, research, student safety)?</t>
  </si>
  <si>
    <t>1.4.2 Is cybersecurity included in board or senior leadership discussions?</t>
  </si>
  <si>
    <t>1.4.3 Are regular reviews or audits conducted to measure the maturity of your cybersecurity program?</t>
  </si>
  <si>
    <t>1.4.4 Is there a process in place to continuously improve your cybersecurity posture over time?</t>
  </si>
  <si>
    <t>2.1.0 Is Multi-Factor Authentication (MFA) enforced for all staff accessing critical systems?</t>
  </si>
  <si>
    <t>2.1.1 Are staff accounts reviewed regularly for appropriate access levels?</t>
  </si>
  <si>
    <t>2.1.2 Are former staff accounts deactivated promptly after departure?</t>
  </si>
  <si>
    <t>2.1.3 Are privileged/admin accounts limited to only essential users?</t>
  </si>
  <si>
    <t>2.1.4 Are generic or shared staff accounts avoided or strictly controlled?</t>
  </si>
  <si>
    <t>2.2.0 Are student accounts created with least-privilege access by default?</t>
  </si>
  <si>
    <t>2.2.1 Are student passwords subject to minimum complexity or length requirements?</t>
  </si>
  <si>
    <t>2.2.2 Can students reset their passwords securely through self-service mechanisms?</t>
  </si>
  <si>
    <t>2.2.3 Are student accounts automatically deactivated after graduation or inactivity?</t>
  </si>
  <si>
    <t>2.2.4 Are login attempts monitored or limited to prevent brute-force attacks on student accounts?</t>
  </si>
  <si>
    <t>2.3.0 Are privileged accounts (e.g., admin, root) clearly defined and documented?</t>
  </si>
  <si>
    <t>2.3.1 Are privileged users required to use MFA for all logins?</t>
  </si>
  <si>
    <t>2.3.2 Is privileged account usage regularly reviewed and logged?</t>
  </si>
  <si>
    <t>2.3.3 Are separate accounts used for administrative tasks vs. regular use?</t>
  </si>
  <si>
    <t>2.3.4 Are privileged accounts promptly disabled when no longer required?</t>
  </si>
  <si>
    <t>2.4.0 Is Multi-Factor Authentication (MFA) implemented for all users accessing sensitive systems?</t>
  </si>
  <si>
    <t>2.4.1 Are authentication methods (e.g., passwords, biometrics) reviewed for strength and reliability?</t>
  </si>
  <si>
    <t>2.4.2 Are default passwords changed immediately after device or system setup?</t>
  </si>
  <si>
    <t>2.4.3 Are legacy systems without MFA isolated or mitigated with compensating controls?</t>
  </si>
  <si>
    <t>2.4.4 Are failed login attempts logged and alerted for critical systems?</t>
  </si>
  <si>
    <t>3.1.0 Is personal data of students and staff handled in accordance with relevant privacy laws (e.g., Australian Privacy Act, GDPR)?</t>
  </si>
  <si>
    <t>3.1.1 Are there clear policies defining how personal information is collected, stored, and shared?</t>
  </si>
  <si>
    <t>3.1.2 Are data access controls enforced to ensure only authorized personnel can view sensitive information?</t>
  </si>
  <si>
    <t>3.1.3 Is consent obtained where required before collecting or using personal data?</t>
  </si>
  <si>
    <t>3.1.4 Are privacy risks considered in the implementation of new systems or tools?</t>
  </si>
  <si>
    <t>3.2.0 Is sensitive data encrypted at rest (e.g., databases, file storage)?</t>
  </si>
  <si>
    <t>3.2.1 Is sensitive data encrypted during transmission (e.g., HTTPS, email, VPN)?</t>
  </si>
  <si>
    <t>3.2.2 Are encryption standards reviewed regularly to align with best practices (e.g., AES-256)?</t>
  </si>
  <si>
    <t>3.2.3 Are encryption keys stored securely and access-controlled?</t>
  </si>
  <si>
    <t>3.2.4 Are portable devices (e.g., laptops, USBs) encrypted to prevent data loss?</t>
  </si>
  <si>
    <t>3.3.0 Are regular backups performed for critical systems and student/staff data?</t>
  </si>
  <si>
    <t>3.3.1 Are backups encrypted and stored in secure, separate locations?</t>
  </si>
  <si>
    <t>3.3.2 Are backup restoration procedures tested at least annually?</t>
  </si>
  <si>
    <t>3.3.3 Is there an automated system in place to monitor backup completion and integrity?</t>
  </si>
  <si>
    <t>3.3.4 Are backups protected against unauthorized access and ransomware attacks?</t>
  </si>
  <si>
    <t>3.4.0 Does your institution have a documented data retention policy for student and staff records?</t>
  </si>
  <si>
    <t>3.4.1 Are retention schedules aligned with legal, regulatory, and academic requirements?</t>
  </si>
  <si>
    <t>3.4.2 Are expired or unnecessary records securely deleted or destroyed?</t>
  </si>
  <si>
    <t>3.4.3 Are electronic devices securely wiped before disposal or reuse?</t>
  </si>
  <si>
    <t>3.4.4 Are staff trained on procedures for securely handling and disposing of data?</t>
  </si>
  <si>
    <t>4.1.0 Is a network firewall in place to protect against unauthorized access?</t>
  </si>
  <si>
    <t>4.1.1 Are internal networks segmented (e.g., admin, staff, student, guest)?</t>
  </si>
  <si>
    <t>4.1.2 Are firewall rules reviewed regularly to remove unused or overly permissive rules?</t>
  </si>
  <si>
    <t>4.1.3 Is east-west (internal-to-internal) network traffic monitored or restricted?</t>
  </si>
  <si>
    <t>4.1.4 Are critical systems isolated from public-facing services?</t>
  </si>
  <si>
    <t>Partial</t>
  </si>
  <si>
    <t>Yes, and it applies to all students and staff.</t>
  </si>
  <si>
    <t>The policy is approved by the executive board but not reviewed untill and unless needed to.</t>
  </si>
  <si>
    <t>Low</t>
  </si>
  <si>
    <t>High</t>
  </si>
  <si>
    <t>4.2.0 Is Wi-Fi protected with strong encryption protocols such as WPA2 or WPA3?</t>
  </si>
  <si>
    <t>4.2.1 Are separate Wi-Fi networks used for staff, students, and guests?</t>
  </si>
  <si>
    <t>4.2.2 Is access to staff Wi-Fi restricted to authorized devices only?</t>
  </si>
  <si>
    <t>4.2.3 Are Wi-Fi access logs monitored for suspicious behavior?</t>
  </si>
  <si>
    <t>4.2.4 Are default credentials on access points changed and managed securely?</t>
  </si>
  <si>
    <t>4.3.0 Is there a system in place to monitor network traffic for unusual or suspicious activity?</t>
  </si>
  <si>
    <t>4.3.1 Are critical systems and services continuously monitored for availability and threats?</t>
  </si>
  <si>
    <t>4.3.2 Are alerts configured to notify IT staff of potential security incidents in real-time?</t>
  </si>
  <si>
    <t>4.3.3 Are system and network logs regularly reviewed and retained for auditing?</t>
  </si>
  <si>
    <t>4.3.4 Is monitoring extended to cloud services and remote endpoints used by staff and students?</t>
  </si>
  <si>
    <t>4.4.0 Is remote access to internal systems restricted to authorized users via secure methods (e.g., VPN)?</t>
  </si>
  <si>
    <t>4.4.1 Is Multi-Factor Authentication (MFA) enforced for all remote access connections?</t>
  </si>
  <si>
    <t>4.4.2 Are VPN access logs monitored for unusual login patterns or unauthorized attempts?</t>
  </si>
  <si>
    <t>4.4.3 Are remote devices required to meet minimum security standards before connecting (e.g., antivirus, OS patches)?</t>
  </si>
  <si>
    <t>4.4.4 Is access to remote systems automatically revoked when users leave the institution or change roles?</t>
  </si>
  <si>
    <t>5.1.0 Are school-issued devices configured with secure baseline settings (e.g., disabling unused ports and services)?</t>
  </si>
  <si>
    <t>5.1.1 Are operating systems and applications regularly updated and patched on all institutional devices?</t>
  </si>
  <si>
    <t>5.1.2 Are administrator privileges restricted on staff and student devices?</t>
  </si>
  <si>
    <t>5.1.3 Are endpoint protection settings (e.g., firewall, device encryption) enforced centrally?</t>
  </si>
  <si>
    <t>5.1.4 Is there a process to securely configure and validate devices before deployment?</t>
  </si>
  <si>
    <t>5.2.0 Are all school-managed devices equipped with antivirus or Endpoint Detection &amp; Response (EDR) solutions?</t>
  </si>
  <si>
    <t>5.2.1 Is antivirus/EDR software centrally monitored for alerts and updates?</t>
  </si>
  <si>
    <t>5.2.2 Are scans scheduled regularly to detect malware or suspicious activity?</t>
  </si>
  <si>
    <t>5.2.3 Are devices prevented from disabling or bypassing antivirus/EDR protections?</t>
  </si>
  <si>
    <t>5.2.4 Are threats detected by antivirus/EDR solutions investigated and documented?</t>
  </si>
  <si>
    <t>5.3.0 Does your institution have a formal policy governing the use of personal (BYOD) devices on campus networks?</t>
  </si>
  <si>
    <t>5.3.1 Are BYOD devices required to meet minimum security standards (e.g., up-to-date OS, antivirus)?</t>
  </si>
  <si>
    <t>5.3.2 Is student or staff access from BYOD devices restricted to specific network segments (e.g., guest Wi-Fi)?</t>
  </si>
  <si>
    <t>5.3.3 Are mobile device management (MDM) solutions or agentless controls used to monitor BYOD activity?</t>
  </si>
  <si>
    <t>5.3.4 Are users informed of the risks and responsibilities associated with connecting personal devices?</t>
  </si>
  <si>
    <t>5.4.0 Are USB ports on staff and student devices monitored or restricted to prevent unauthorized use?</t>
  </si>
  <si>
    <t>5.4.1 Are policies in place for the use of removable media (e.g., USB drives, external hard drives)?</t>
  </si>
  <si>
    <t>5.4.2 Are school-issued devices configured to block or log unapproved peripheral connections?</t>
  </si>
  <si>
    <t>5.4.3 Are staff trained on the risks of using untrusted USB devices or media?</t>
  </si>
  <si>
    <t>5.4.4 Is endpoint software used to detect and control external device connections?</t>
  </si>
  <si>
    <t>6.1.0 Is the LMS (e.g., Moodle, Canvas) hosted on secure infrastructure with regular maintenance and updates?</t>
  </si>
  <si>
    <t>6.1.1 Are LMS user accounts integrated with institutional authentication systems (e.g., SSO, MFA)?</t>
  </si>
  <si>
    <t>6.1.2 Are role-based access controls enforced within the LMS (e.g., student vs. teacher vs. admin)?</t>
  </si>
  <si>
    <t>6.1.3 Is LMS activity logged and monitored for unusual or unauthorized actions?</t>
  </si>
  <si>
    <t>6.1.4 Are third-party plugins or integrations in the LMS reviewed for security before being enabled?</t>
  </si>
  <si>
    <t>6.2.0 Are administrative login portals (e.g., CMS, ERP, staff dashboards) protected with MFA and CAPTCHA?</t>
  </si>
  <si>
    <t>6.2.1 Are default admin URLs renamed or hidden to reduce exposure to brute-force attacks?</t>
  </si>
  <si>
    <t>6.2.2 Is access to admin panels limited to authorized IP addresses or internal networks where possible?</t>
  </si>
  <si>
    <t>6.2.3 Are administrator accounts protected with strong, unique credentials and monitored for misuse?</t>
  </si>
  <si>
    <t>6.2.4 Are admin panel sessions automatically timed out after inactivity?</t>
  </si>
  <si>
    <t>6.3.0 Are all login pages protected with CAPTCHA or similar mechanisms to prevent automated attacks?</t>
  </si>
  <si>
    <t>6.3.1 Is rate limiting or account lockout enforced after multiple failed login attempts?</t>
  </si>
  <si>
    <t>6.3.2 Are login pages and forms served over HTTPS with valid SSL certificates?</t>
  </si>
  <si>
    <t>6.3.3 Are users notified of suspicious login activity or unauthorized access attempts?</t>
  </si>
  <si>
    <t>6.3.4 Are login attempts logged and reviewed regularly for signs of brute-force or credential stuffing?</t>
  </si>
  <si>
    <t>6.4.0 Are all CMS platforms (e.g., WordPress, Joomla) and associated plugins kept up to date?</t>
  </si>
  <si>
    <t>6.4.1 Are unused or outdated plugins/themes regularly removed from CMS environments?</t>
  </si>
  <si>
    <t>6.4.2 Are updates to the CMS and plugins tested in a staging environment before deployment?</t>
  </si>
  <si>
    <t>6.4.3 Are automatic updates enabled where appropriate to minimize vulnerability exposure?</t>
  </si>
  <si>
    <t>6.4.4 Is there a documented process to monitor CMS vulnerability disclosures?</t>
  </si>
  <si>
    <t>7.1.0 Are staff and student accounts on SaaS platforms (e.g., Google Workspace, Microsoft 365) protected with MFA?</t>
  </si>
  <si>
    <t>7.1.1 Are access controls and sharing settings reviewed periodically in cloud collaboration tools?</t>
  </si>
  <si>
    <t>7.1.2 Are SaaS admin consoles restricted to authorized users only?</t>
  </si>
  <si>
    <t>7.1.3 Are audit logs enabled and monitored in SaaS platforms?</t>
  </si>
  <si>
    <t>7.1.4 Is data stored in SaaS platforms backed up or replicated securely?</t>
  </si>
  <si>
    <t>7.2.0 Are cloud storage buckets (e.g., AWS S3, Azure Blob) configured to restrict public access by default?</t>
  </si>
  <si>
    <t>7.2.1 Are cloud file-sharing permissions reviewed regularly to prevent overexposure?</t>
  </si>
  <si>
    <t>7.2.2 Are access logs and audit trails enabled for cloud storage services?</t>
  </si>
  <si>
    <t>7.2.3 Are encryption and key management practices applied to files stored in the cloud?</t>
  </si>
  <si>
    <t>7.2.4 Are sensitive or confidential documents stored in cloud services monitored or scanned for exposure risks?</t>
  </si>
  <si>
    <t>7.3.0 Are third-party vendors and service providers evaluated for cybersecurity risks before onboarding?</t>
  </si>
  <si>
    <t>7.3.1 Do vendor agreements include clauses for data protection and breach notification?</t>
  </si>
  <si>
    <t>7.3.2 Are critical vendors required to comply with industry security standards or certifications?</t>
  </si>
  <si>
    <t>7.3.3 Is vendor access to institutional systems limited and reviewed periodically?</t>
  </si>
  <si>
    <t>7.3.4 Are vendor relationships reassessed regularly based on performance and risk posture?</t>
  </si>
  <si>
    <t>7.4.0 Is there a formal process for reviewing and approving third-party educational apps or tools?</t>
  </si>
  <si>
    <t>7.4.1 Are staff and students restricted from installing unapproved applications on institutional devices?</t>
  </si>
  <si>
    <t>7.4.2 Are privacy and data handling practices reviewed before approving third-party tools?</t>
  </si>
  <si>
    <t>7.4.3 Are app permissions reviewed to ensure they align with their intended use?</t>
  </si>
  <si>
    <t>7.4.4 Is there a mechanism to disable or remove third-party tools that present security concerns?</t>
  </si>
  <si>
    <t>8.1.0 Do staff know how to identify and report phishing emails or suspicious messages?</t>
  </si>
  <si>
    <t>8.1.1 Is there a documented process for responding to cybersecurity breaches or suspected incidents?</t>
  </si>
  <si>
    <t>8.1.2 Are phishing simulations or awareness campaigns conducted to test readiness?</t>
  </si>
  <si>
    <t>8.1.3 Are reported phishing attempts investigated and used to improve response procedures?</t>
  </si>
  <si>
    <t>8.1.4 Has the institution experienced a data breach or cyber incident in the past 12 months?</t>
  </si>
  <si>
    <t>8.2.0 Does your institution have a formal, documented incident response (IR) plan?</t>
  </si>
  <si>
    <t>8.2.1 Is the IR plan reviewed and tested at least annually?</t>
  </si>
  <si>
    <t>8.2.2 Are IR roles and responsibilities clearly defined for key staff?</t>
  </si>
  <si>
    <t>8.2.3 Does the plan cover a variety of scenarios (e.g., ransomware, DDoS, insider threat)?</t>
  </si>
  <si>
    <t>8.2.4 Is the IR plan aligned with legal and regulatory reporting requirements?</t>
  </si>
  <si>
    <t>8.3.0 Are multiple channels available for staff and students to report security incidents?</t>
  </si>
  <si>
    <t>8.3.1 Are security incidents escalated promptly to the appropriate internal team or authority?</t>
  </si>
  <si>
    <t>8.3.2 Are incidents categorized and prioritized based on severity and impact?</t>
  </si>
  <si>
    <t>8.3.3 Is there a central register or ticketing system to track incidents?</t>
  </si>
  <si>
    <t>8.3.4 Are incident reports used to guide future improvements or training?</t>
  </si>
  <si>
    <t>8.4.0 Are staff trained on what to do in the event of a cyber incident or breach?</t>
  </si>
  <si>
    <t>8.4.1 Are tabletop exercises or simulations conducted to improve incident response readiness?</t>
  </si>
  <si>
    <t>8.4.2 Are department heads aware of their escalation responsibilities during a cyber event?</t>
  </si>
  <si>
    <t>8.4.3 Are incident response awareness posters, guides, or quick reference materials made available?</t>
  </si>
  <si>
    <t>8.4.4 Has the incident response training been updated to reflect emerging threats or changes in policy?</t>
  </si>
  <si>
    <t>9.1.0 Does your institution have a documented disaster recovery (DR) plan for IT systems?</t>
  </si>
  <si>
    <t>9.1.1 Does the DR plan include procedures for restoring critical educational services (e.g., LMS, email)?</t>
  </si>
  <si>
    <t>9.1.2 Is the DR plan tested and updated at least annually?</t>
  </si>
  <si>
    <t>9.1.3 Are recovery time objectives (RTOs) and recovery point objectives (RPOs) defined and documented?</t>
  </si>
  <si>
    <t>9.2.0 Are backup restorations tested regularly to verify data integrity and recovery speed?</t>
  </si>
  <si>
    <t>9.2.1 Are test results documented and reviewed by IT leadership?</t>
  </si>
  <si>
    <t>9.2.2 Are key systems (e.g., student records, email) prioritized in restoration tests?</t>
  </si>
  <si>
    <t>9.2.3 Is restoration testing included in incident response or continuity exercises?</t>
  </si>
  <si>
    <t>9.2.4 Are staff involved in restoration aware of their roles and timelines?</t>
  </si>
  <si>
    <t>9.3.0 Does your institution have a response playbook specifically for ransomware scenarios?</t>
  </si>
  <si>
    <t>9.3.1 Is there a decision-making framework for ransom payment, legal reporting, and containment?</t>
  </si>
  <si>
    <t>9.3.2 Are offline backups maintained and protected from ransomware propagation?</t>
  </si>
  <si>
    <t>9.3.3 Has staff been briefed on recognizing early signs of ransomware activity?</t>
  </si>
  <si>
    <t>9.3.4 Is threat intelligence used to stay aware of ransomware tactics and trends?</t>
  </si>
  <si>
    <t>9.4.0 Does your institution have a continuity plan for extended disruptions (e.g., pandemic, natural disaster)?</t>
  </si>
  <si>
    <t>9.4.1 Are remote learning and work-from-home infrastructures included in your continuity strategy?</t>
  </si>
  <si>
    <t>9.4.2 Are communication plans in place for students, staff, and families during major disruptions?</t>
  </si>
  <si>
    <t>9.4.3 Has your institution performed continuity drills based on non-cyber events?</t>
  </si>
  <si>
    <t>9.4.4 Are remote collaboration and file-sharing tools included in your availability planning?</t>
  </si>
  <si>
    <t>10.1.0 Are physical server rooms and network cabinets secured with access control systems (e.g., keycards, biometric locks)?</t>
  </si>
  <si>
    <t>10.1.1 Is access to server rooms restricted to authorized personnel only?</t>
  </si>
  <si>
    <t>10.1.2 Are access logs maintained and reviewed periodically?</t>
  </si>
  <si>
    <t>10.1.3 Are server rooms monitored with CCTV or intrusion alarms?</t>
  </si>
  <si>
    <t>10.1.4 Are visitors or contractors supervised when entering secure IT areas?</t>
  </si>
  <si>
    <t>10.2.0 Is there a visitor management system in place (e.g., sign-in logs, ID badges)?</t>
  </si>
  <si>
    <t>10.2.1 Are visitors escorted by staff when accessing non-public or IT-related areas?</t>
  </si>
  <si>
    <t>10.2.2 Are badges or access tags clearly marked to differentiate staff, students, and visitors?</t>
  </si>
  <si>
    <t>10.2.3 Is visitor access reviewed and documented daily or per event?</t>
  </si>
  <si>
    <t>10.2.4 Are temporary access credentials automatically revoked after expiry?</t>
  </si>
  <si>
    <t>10.3.0 Are laptops, tablets, and other mobile devices secured using locks, tethers, or secure storage when not in use?</t>
  </si>
  <si>
    <t>10.3.1 Are classrooms and staff offices equipped with secure storage for IT assets?</t>
  </si>
  <si>
    <t>10.3.2 Are lost or stolen devices tracked, reported, and remotely wiped if possible?</t>
  </si>
  <si>
    <t>10.3.3 Are devices tagged or inventoried for asset management purposes?</t>
  </si>
  <si>
    <t>10.3.4 Are anti-theft policies communicated to staff and students?</t>
  </si>
  <si>
    <t>10.4.0 Are staff trained to recognize and report social engineering attempts (e.g., phishing, tailgating)?</t>
  </si>
  <si>
    <t>10.4.1 Are there clear procedures for verifying the identity of people requesting access to systems or facilities?</t>
  </si>
  <si>
    <t>10.4.2 Are awareness posters or digital campaigns used to reinforce social engineering risks?</t>
  </si>
  <si>
    <t>10.4.3 Are test scenarios or simulations used to assess awareness of physical and digital manipulation tactics?</t>
  </si>
  <si>
    <t>10.4.4 Is there a process for staff to report suspicious behavior or potential impersonation attempts?</t>
  </si>
  <si>
    <t>No action required — policy is documented and applies to all users.</t>
  </si>
  <si>
    <t>CISO / IT Security Manager</t>
  </si>
  <si>
    <t>Schedule formal review and approval process with executive board annually.</t>
  </si>
  <si>
    <t>Head of IT Governance or Chief Operating Officer (COO)</t>
  </si>
  <si>
    <t>Score</t>
  </si>
  <si>
    <t>Total Points:</t>
  </si>
  <si>
    <t>Max Points:</t>
  </si>
  <si>
    <t>Security Score (%)</t>
  </si>
  <si>
    <t xml:space="preserve">TOTAL POINTS: </t>
  </si>
  <si>
    <t>MAX POINTS:</t>
  </si>
  <si>
    <t>***************</t>
  </si>
  <si>
    <t>To evaluate the current cybersecurity posture of ****** institutions across key domains using a structured and objective self-assessment.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</si>
</sst>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4"/>
      <color rgb="FFF9FBFD"/>
      <name val="Arial"/>
      <family val="2"/>
      <scheme val="minor"/>
    </font>
    <font>
      <sz val="12"/>
      <color rgb="FFF9FBFD"/>
      <name val="Arial"/>
      <family val="2"/>
      <scheme val="minor"/>
    </font>
    <font>
      <sz val="10"/>
      <color rgb="FFF9FBFD"/>
      <name val="Arial"/>
      <family val="2"/>
      <scheme val="minor"/>
    </font>
    <font>
      <i/>
      <sz val="10"/>
      <color rgb="FFF9FBFD"/>
      <name val="Arial"/>
      <family val="2"/>
      <scheme val="minor"/>
    </font>
    <font>
      <sz val="11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24"/>
      <color rgb="FF000000"/>
      <name val="Arial (Body)"/>
    </font>
    <font>
      <sz val="18"/>
      <color rgb="FF000000"/>
      <name val="Arial"/>
      <family val="2"/>
      <scheme val="minor"/>
    </font>
    <font>
      <sz val="28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9FBFD"/>
        <bgColor rgb="FFF9FBFD"/>
      </patternFill>
    </fill>
    <fill>
      <patternFill patternType="solid">
        <fgColor rgb="FFE8EEF9"/>
        <bgColor rgb="FFE8EEF9"/>
      </patternFill>
    </fill>
    <fill>
      <patternFill patternType="solid">
        <fgColor rgb="FF1757C2"/>
        <bgColor rgb="FF1757C2"/>
      </patternFill>
    </fill>
    <fill>
      <patternFill patternType="solid">
        <fgColor rgb="FF1E88E5"/>
        <bgColor rgb="FF1E88E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wrapText="1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5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vertical="center" wrapText="1"/>
    </xf>
    <xf numFmtId="0" fontId="1" fillId="4" borderId="0" xfId="0" applyFont="1" applyFill="1"/>
    <xf numFmtId="0" fontId="1" fillId="4" borderId="5" xfId="0" applyFont="1" applyFill="1" applyBorder="1"/>
    <xf numFmtId="0" fontId="8" fillId="5" borderId="4" xfId="0" applyFont="1" applyFill="1" applyBorder="1" applyAlignment="1">
      <alignment vertical="center" wrapText="1"/>
    </xf>
    <xf numFmtId="0" fontId="9" fillId="5" borderId="0" xfId="0" applyFont="1" applyFill="1"/>
    <xf numFmtId="0" fontId="10" fillId="5" borderId="0" xfId="0" applyFont="1" applyFill="1"/>
    <xf numFmtId="0" fontId="9" fillId="5" borderId="0" xfId="0" applyFont="1" applyFill="1" applyAlignment="1">
      <alignment vertical="center"/>
    </xf>
    <xf numFmtId="0" fontId="10" fillId="5" borderId="5" xfId="0" applyFont="1" applyFill="1" applyBorder="1"/>
    <xf numFmtId="0" fontId="11" fillId="2" borderId="4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2" fillId="2" borderId="0" xfId="0" applyFont="1" applyFill="1"/>
    <xf numFmtId="0" fontId="1" fillId="3" borderId="0" xfId="0" applyFont="1" applyFill="1" applyAlignment="1">
      <alignment vertical="center"/>
    </xf>
    <xf numFmtId="0" fontId="12" fillId="3" borderId="0" xfId="0" applyFont="1" applyFill="1"/>
    <xf numFmtId="0" fontId="12" fillId="3" borderId="5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3" borderId="5" xfId="0" applyFont="1" applyFill="1" applyBorder="1"/>
    <xf numFmtId="0" fontId="9" fillId="5" borderId="5" xfId="0" applyFont="1" applyFill="1" applyBorder="1"/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/>
    <xf numFmtId="0" fontId="1" fillId="5" borderId="5" xfId="0" applyFont="1" applyFill="1" applyBorder="1"/>
    <xf numFmtId="0" fontId="1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/>
    <xf numFmtId="0" fontId="1" fillId="3" borderId="7" xfId="0" applyFont="1" applyFill="1" applyBorder="1" applyAlignment="1">
      <alignment vertical="center"/>
    </xf>
    <xf numFmtId="0" fontId="1" fillId="3" borderId="7" xfId="0" applyFont="1" applyFill="1" applyBorder="1"/>
    <xf numFmtId="0" fontId="1" fillId="3" borderId="8" xfId="0" applyFont="1" applyFill="1" applyBorder="1"/>
    <xf numFmtId="0" fontId="13" fillId="0" borderId="0" xfId="0" applyFont="1"/>
    <xf numFmtId="0" fontId="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vertical="top" wrapText="1"/>
    </xf>
    <xf numFmtId="0" fontId="12" fillId="3" borderId="0" xfId="0" applyFont="1" applyFill="1" applyAlignment="1">
      <alignment vertical="top" wrapText="1"/>
    </xf>
    <xf numFmtId="0" fontId="12" fillId="3" borderId="5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 vertical="center"/>
    </xf>
    <xf numFmtId="0" fontId="14" fillId="0" borderId="0" xfId="0" applyFont="1" applyAlignment="1">
      <alignment vertical="top" wrapText="1"/>
    </xf>
    <xf numFmtId="0" fontId="15" fillId="0" borderId="0" xfId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8" fillId="8" borderId="9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10" fontId="17" fillId="7" borderId="9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6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EAF1-4D6A-514B-B2A0-B23C6881B0AA}">
  <dimension ref="A1:N8"/>
  <sheetViews>
    <sheetView tabSelected="1" workbookViewId="0">
      <selection activeCell="B13" sqref="B13"/>
    </sheetView>
  </sheetViews>
  <sheetFormatPr baseColWidth="10" defaultRowHeight="13" x14ac:dyDescent="0.15"/>
  <cols>
    <col min="1" max="1" width="31" customWidth="1"/>
    <col min="2" max="2" width="70.6640625" customWidth="1"/>
  </cols>
  <sheetData>
    <row r="1" spans="1:14" ht="20" customHeight="1" x14ac:dyDescent="0.2">
      <c r="A1" s="41" t="s">
        <v>262</v>
      </c>
      <c r="B1" s="49" t="s">
        <v>543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20" customHeight="1" x14ac:dyDescent="0.2">
      <c r="A2" s="41" t="s">
        <v>263</v>
      </c>
      <c r="B2" s="49" t="s">
        <v>544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20" customHeight="1" x14ac:dyDescent="0.2">
      <c r="A3" s="41" t="s">
        <v>264</v>
      </c>
      <c r="B3" s="49" t="s">
        <v>265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4" ht="20" customHeight="1" x14ac:dyDescent="0.2">
      <c r="A4" s="41" t="s">
        <v>266</v>
      </c>
      <c r="B4" s="49" t="s">
        <v>274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spans="1:14" ht="20" customHeight="1" x14ac:dyDescent="0.2">
      <c r="A5" s="41" t="s">
        <v>267</v>
      </c>
      <c r="B5" s="49" t="s">
        <v>268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</row>
    <row r="6" spans="1:14" ht="20" customHeight="1" x14ac:dyDescent="0.2">
      <c r="A6" s="41" t="s">
        <v>269</v>
      </c>
      <c r="B6" s="49" t="s">
        <v>270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</row>
    <row r="7" spans="1:14" ht="20" customHeight="1" x14ac:dyDescent="0.2">
      <c r="A7" s="41" t="s">
        <v>271</v>
      </c>
      <c r="B7" s="49" t="s">
        <v>273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1:14" ht="20" x14ac:dyDescent="0.2">
      <c r="A8" s="41" t="s">
        <v>272</v>
      </c>
      <c r="B8" s="50"/>
      <c r="C8" s="51"/>
      <c r="D8" s="51"/>
      <c r="E8" s="51"/>
      <c r="F8" s="51"/>
    </row>
  </sheetData>
  <mergeCells count="8">
    <mergeCell ref="B6:N6"/>
    <mergeCell ref="B7:N7"/>
    <mergeCell ref="B8:F8"/>
    <mergeCell ref="B1:N1"/>
    <mergeCell ref="B2:N2"/>
    <mergeCell ref="B3:N3"/>
    <mergeCell ref="B4:N4"/>
    <mergeCell ref="B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>
      <pane ySplit="6" topLeftCell="A7" activePane="bottomLeft" state="frozen"/>
      <selection pane="bottomLeft" activeCell="B20" sqref="B20"/>
    </sheetView>
  </sheetViews>
  <sheetFormatPr baseColWidth="10" defaultColWidth="12.6640625" defaultRowHeight="15.75" customHeight="1" x14ac:dyDescent="0.15"/>
  <cols>
    <col min="1" max="1" width="25.33203125" customWidth="1"/>
    <col min="2" max="2" width="24.33203125" customWidth="1"/>
  </cols>
  <sheetData>
    <row r="1" spans="1:26" ht="15.75" customHeight="1" x14ac:dyDescent="0.1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2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2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56"/>
  <sheetViews>
    <sheetView workbookViewId="0">
      <pane ySplit="2" topLeftCell="A3" activePane="bottomLeft" state="frozen"/>
      <selection pane="bottomLeft" activeCell="C5" sqref="C5"/>
    </sheetView>
  </sheetViews>
  <sheetFormatPr baseColWidth="10" defaultColWidth="12.6640625" defaultRowHeight="15.75" customHeight="1" x14ac:dyDescent="0.15"/>
  <cols>
    <col min="1" max="1" width="86.1640625" customWidth="1"/>
    <col min="2" max="2" width="15.6640625" customWidth="1"/>
    <col min="3" max="3" width="24" customWidth="1"/>
    <col min="4" max="4" width="18.1640625" customWidth="1"/>
    <col min="5" max="5" width="18.33203125" customWidth="1"/>
    <col min="6" max="6" width="25.6640625" customWidth="1"/>
    <col min="7" max="7" width="20.83203125" customWidth="1"/>
  </cols>
  <sheetData>
    <row r="1" spans="1:7" ht="30.75" customHeight="1" x14ac:dyDescent="0.2">
      <c r="A1" s="3" t="s">
        <v>276</v>
      </c>
      <c r="B1" s="4"/>
      <c r="C1" s="5"/>
      <c r="D1" s="6" t="s">
        <v>6</v>
      </c>
      <c r="E1" s="7"/>
      <c r="F1" s="7"/>
      <c r="G1" s="8"/>
    </row>
    <row r="2" spans="1:7" ht="30.75" customHeight="1" x14ac:dyDescent="0.15">
      <c r="A2" s="9" t="s">
        <v>7</v>
      </c>
      <c r="B2" s="10" t="s">
        <v>8</v>
      </c>
      <c r="C2" s="10" t="s">
        <v>9</v>
      </c>
      <c r="D2" s="11" t="s">
        <v>10</v>
      </c>
      <c r="E2" s="11" t="s">
        <v>11</v>
      </c>
      <c r="F2" s="11" t="s">
        <v>12</v>
      </c>
      <c r="G2" s="12" t="s">
        <v>13</v>
      </c>
    </row>
    <row r="3" spans="1:7" ht="30.75" customHeight="1" x14ac:dyDescent="0.15">
      <c r="A3" s="13" t="s">
        <v>14</v>
      </c>
      <c r="B3" s="14"/>
      <c r="C3" s="14"/>
      <c r="D3" s="14"/>
      <c r="E3" s="14"/>
      <c r="F3" s="14"/>
      <c r="G3" s="15"/>
    </row>
    <row r="4" spans="1:7" ht="30.75" customHeight="1" x14ac:dyDescent="0.15">
      <c r="A4" s="16" t="s">
        <v>15</v>
      </c>
      <c r="B4" s="17"/>
      <c r="C4" s="18"/>
      <c r="D4" s="19"/>
      <c r="E4" s="19"/>
      <c r="F4" s="18"/>
      <c r="G4" s="20"/>
    </row>
    <row r="5" spans="1:7" ht="30.75" customHeight="1" x14ac:dyDescent="0.15">
      <c r="A5" s="21" t="s">
        <v>16</v>
      </c>
      <c r="B5" s="22"/>
      <c r="C5" s="23"/>
      <c r="D5" s="24"/>
      <c r="E5" s="24"/>
      <c r="F5" s="25"/>
      <c r="G5" s="26"/>
    </row>
    <row r="6" spans="1:7" ht="30.75" customHeight="1" x14ac:dyDescent="0.15">
      <c r="A6" s="21" t="s">
        <v>17</v>
      </c>
      <c r="B6" s="22"/>
      <c r="C6" s="23" t="s">
        <v>275</v>
      </c>
      <c r="D6" s="24"/>
      <c r="E6" s="24"/>
      <c r="F6" s="25"/>
      <c r="G6" s="26"/>
    </row>
    <row r="7" spans="1:7" ht="30.75" customHeight="1" x14ac:dyDescent="0.15">
      <c r="A7" s="21" t="s">
        <v>18</v>
      </c>
      <c r="B7" s="22"/>
      <c r="C7" s="23"/>
      <c r="D7" s="24"/>
      <c r="E7" s="24"/>
      <c r="F7" s="25"/>
      <c r="G7" s="26"/>
    </row>
    <row r="8" spans="1:7" ht="30.75" customHeight="1" x14ac:dyDescent="0.15">
      <c r="A8" s="21" t="s">
        <v>19</v>
      </c>
      <c r="B8" s="22"/>
      <c r="C8" s="23"/>
      <c r="D8" s="24"/>
      <c r="E8" s="24"/>
      <c r="F8" s="25"/>
      <c r="G8" s="26"/>
    </row>
    <row r="9" spans="1:7" ht="30.75" customHeight="1" x14ac:dyDescent="0.15">
      <c r="A9" s="21" t="s">
        <v>20</v>
      </c>
      <c r="B9" s="22"/>
      <c r="C9" s="27"/>
      <c r="D9" s="24"/>
      <c r="E9" s="24"/>
      <c r="F9" s="28"/>
      <c r="G9" s="29"/>
    </row>
    <row r="10" spans="1:7" ht="30.75" customHeight="1" x14ac:dyDescent="0.15">
      <c r="A10" s="21" t="s">
        <v>21</v>
      </c>
      <c r="B10" s="22"/>
      <c r="C10" s="23"/>
      <c r="D10" s="24"/>
      <c r="E10" s="24"/>
      <c r="F10" s="25"/>
      <c r="G10" s="26"/>
    </row>
    <row r="11" spans="1:7" ht="30.75" customHeight="1" x14ac:dyDescent="0.15">
      <c r="A11" s="21" t="s">
        <v>22</v>
      </c>
      <c r="B11" s="22"/>
      <c r="C11" s="23"/>
      <c r="D11" s="24"/>
      <c r="E11" s="24"/>
      <c r="F11" s="25"/>
      <c r="G11" s="26"/>
    </row>
    <row r="12" spans="1:7" ht="30.75" customHeight="1" x14ac:dyDescent="0.15">
      <c r="A12" s="21" t="s">
        <v>23</v>
      </c>
      <c r="B12" s="22"/>
      <c r="C12" s="23"/>
      <c r="D12" s="24"/>
      <c r="E12" s="24"/>
      <c r="F12" s="25"/>
      <c r="G12" s="26"/>
    </row>
    <row r="13" spans="1:7" ht="30.75" customHeight="1" x14ac:dyDescent="0.15">
      <c r="A13" s="21" t="s">
        <v>24</v>
      </c>
      <c r="B13" s="22"/>
      <c r="C13" s="23"/>
      <c r="D13" s="24"/>
      <c r="E13" s="24"/>
      <c r="F13" s="25"/>
      <c r="G13" s="26"/>
    </row>
    <row r="14" spans="1:7" ht="30.75" customHeight="1" x14ac:dyDescent="0.15">
      <c r="A14" s="21" t="s">
        <v>25</v>
      </c>
      <c r="B14" s="22"/>
      <c r="C14" s="23"/>
      <c r="D14" s="24"/>
      <c r="E14" s="24"/>
      <c r="F14" s="25"/>
      <c r="G14" s="26"/>
    </row>
    <row r="15" spans="1:7" ht="30.75" customHeight="1" x14ac:dyDescent="0.15">
      <c r="A15" s="16" t="s">
        <v>26</v>
      </c>
      <c r="B15" s="19"/>
      <c r="C15" s="18"/>
      <c r="D15" s="19"/>
      <c r="E15" s="19"/>
      <c r="F15" s="18"/>
      <c r="G15" s="20"/>
    </row>
    <row r="16" spans="1:7" ht="30.75" customHeight="1" x14ac:dyDescent="0.15">
      <c r="A16" s="21" t="s">
        <v>27</v>
      </c>
      <c r="B16" s="22"/>
      <c r="C16" s="27"/>
      <c r="D16" s="24"/>
      <c r="E16" s="24"/>
      <c r="F16" s="28"/>
      <c r="G16" s="29"/>
    </row>
    <row r="17" spans="1:7" ht="30.75" customHeight="1" x14ac:dyDescent="0.15">
      <c r="A17" s="21" t="s">
        <v>28</v>
      </c>
      <c r="B17" s="22"/>
      <c r="C17" s="27"/>
      <c r="D17" s="24"/>
      <c r="E17" s="24"/>
      <c r="F17" s="28"/>
      <c r="G17" s="29"/>
    </row>
    <row r="18" spans="1:7" ht="30.75" customHeight="1" x14ac:dyDescent="0.15">
      <c r="A18" s="21" t="s">
        <v>29</v>
      </c>
      <c r="B18" s="22"/>
      <c r="C18" s="27"/>
      <c r="D18" s="24"/>
      <c r="E18" s="24"/>
      <c r="F18" s="28"/>
      <c r="G18" s="29"/>
    </row>
    <row r="19" spans="1:7" ht="30.75" customHeight="1" x14ac:dyDescent="0.15">
      <c r="A19" s="21" t="s">
        <v>30</v>
      </c>
      <c r="B19" s="22"/>
      <c r="C19" s="27"/>
      <c r="D19" s="24"/>
      <c r="E19" s="24"/>
      <c r="F19" s="28"/>
      <c r="G19" s="29"/>
    </row>
    <row r="20" spans="1:7" ht="30.75" customHeight="1" x14ac:dyDescent="0.15">
      <c r="A20" s="21" t="s">
        <v>31</v>
      </c>
      <c r="B20" s="22"/>
      <c r="C20" s="27"/>
      <c r="D20" s="24"/>
      <c r="E20" s="24"/>
      <c r="F20" s="28"/>
      <c r="G20" s="29"/>
    </row>
    <row r="21" spans="1:7" ht="30.75" customHeight="1" x14ac:dyDescent="0.15">
      <c r="A21" s="21" t="s">
        <v>32</v>
      </c>
      <c r="B21" s="22"/>
      <c r="C21" s="27"/>
      <c r="D21" s="24"/>
      <c r="E21" s="24"/>
      <c r="F21" s="28"/>
      <c r="G21" s="29"/>
    </row>
    <row r="22" spans="1:7" ht="30.75" customHeight="1" x14ac:dyDescent="0.15">
      <c r="A22" s="21" t="s">
        <v>33</v>
      </c>
      <c r="B22" s="22"/>
      <c r="C22" s="27"/>
      <c r="D22" s="24"/>
      <c r="E22" s="24"/>
      <c r="F22" s="28"/>
      <c r="G22" s="29"/>
    </row>
    <row r="23" spans="1:7" ht="30.75" customHeight="1" x14ac:dyDescent="0.15">
      <c r="A23" s="21" t="s">
        <v>34</v>
      </c>
      <c r="B23" s="22"/>
      <c r="C23" s="27"/>
      <c r="D23" s="24"/>
      <c r="E23" s="24"/>
      <c r="F23" s="28"/>
      <c r="G23" s="29"/>
    </row>
    <row r="24" spans="1:7" ht="30.75" customHeight="1" x14ac:dyDescent="0.15">
      <c r="A24" s="21" t="s">
        <v>35</v>
      </c>
      <c r="B24" s="22"/>
      <c r="C24" s="27"/>
      <c r="D24" s="24"/>
      <c r="E24" s="24"/>
      <c r="F24" s="28"/>
      <c r="G24" s="29"/>
    </row>
    <row r="25" spans="1:7" ht="30.75" customHeight="1" x14ac:dyDescent="0.15">
      <c r="A25" s="21" t="s">
        <v>36</v>
      </c>
      <c r="B25" s="22"/>
      <c r="C25" s="27"/>
      <c r="D25" s="24"/>
      <c r="E25" s="24"/>
      <c r="F25" s="28"/>
      <c r="G25" s="29"/>
    </row>
    <row r="26" spans="1:7" ht="30.75" customHeight="1" x14ac:dyDescent="0.15">
      <c r="A26" s="16" t="s">
        <v>37</v>
      </c>
      <c r="B26" s="19"/>
      <c r="C26" s="17"/>
      <c r="D26" s="19"/>
      <c r="E26" s="19"/>
      <c r="F26" s="17"/>
      <c r="G26" s="30"/>
    </row>
    <row r="27" spans="1:7" ht="30.75" customHeight="1" x14ac:dyDescent="0.15">
      <c r="A27" s="21" t="s">
        <v>38</v>
      </c>
      <c r="B27" s="22"/>
      <c r="C27" s="27"/>
      <c r="D27" s="24"/>
      <c r="E27" s="24"/>
      <c r="F27" s="28"/>
      <c r="G27" s="29"/>
    </row>
    <row r="28" spans="1:7" ht="30.75" customHeight="1" x14ac:dyDescent="0.15">
      <c r="A28" s="21" t="s">
        <v>39</v>
      </c>
      <c r="B28" s="22"/>
      <c r="C28" s="27"/>
      <c r="D28" s="24"/>
      <c r="E28" s="24"/>
      <c r="F28" s="28"/>
      <c r="G28" s="29"/>
    </row>
    <row r="29" spans="1:7" ht="30.75" customHeight="1" x14ac:dyDescent="0.15">
      <c r="A29" s="21" t="s">
        <v>40</v>
      </c>
      <c r="B29" s="22"/>
      <c r="C29" s="27"/>
      <c r="D29" s="24"/>
      <c r="E29" s="24"/>
      <c r="F29" s="28"/>
      <c r="G29" s="29"/>
    </row>
    <row r="30" spans="1:7" ht="30.75" customHeight="1" x14ac:dyDescent="0.15">
      <c r="A30" s="21" t="s">
        <v>41</v>
      </c>
      <c r="B30" s="22"/>
      <c r="C30" s="27"/>
      <c r="D30" s="24"/>
      <c r="E30" s="24"/>
      <c r="F30" s="28"/>
      <c r="G30" s="29"/>
    </row>
    <row r="31" spans="1:7" ht="30.75" customHeight="1" x14ac:dyDescent="0.15">
      <c r="A31" s="21" t="s">
        <v>42</v>
      </c>
      <c r="B31" s="22"/>
      <c r="C31" s="27"/>
      <c r="D31" s="24"/>
      <c r="E31" s="24"/>
      <c r="F31" s="28"/>
      <c r="G31" s="29"/>
    </row>
    <row r="32" spans="1:7" ht="30.75" customHeight="1" x14ac:dyDescent="0.15">
      <c r="A32" s="21" t="s">
        <v>43</v>
      </c>
      <c r="B32" s="22"/>
      <c r="C32" s="27"/>
      <c r="D32" s="24"/>
      <c r="E32" s="24"/>
      <c r="F32" s="28"/>
      <c r="G32" s="29"/>
    </row>
    <row r="33" spans="1:7" ht="30.75" customHeight="1" x14ac:dyDescent="0.15">
      <c r="A33" s="21" t="s">
        <v>44</v>
      </c>
      <c r="B33" s="22"/>
      <c r="C33" s="27"/>
      <c r="D33" s="24"/>
      <c r="E33" s="24"/>
      <c r="F33" s="28"/>
      <c r="G33" s="29"/>
    </row>
    <row r="34" spans="1:7" ht="30.75" customHeight="1" x14ac:dyDescent="0.15">
      <c r="A34" s="21" t="s">
        <v>45</v>
      </c>
      <c r="B34" s="22"/>
      <c r="C34" s="27"/>
      <c r="D34" s="24"/>
      <c r="E34" s="24"/>
      <c r="F34" s="28"/>
      <c r="G34" s="29"/>
    </row>
    <row r="35" spans="1:7" ht="30.75" customHeight="1" x14ac:dyDescent="0.15">
      <c r="A35" s="21" t="s">
        <v>46</v>
      </c>
      <c r="B35" s="22"/>
      <c r="C35" s="27"/>
      <c r="D35" s="24"/>
      <c r="E35" s="24"/>
      <c r="F35" s="28"/>
      <c r="G35" s="29"/>
    </row>
    <row r="36" spans="1:7" ht="30.75" customHeight="1" x14ac:dyDescent="0.15">
      <c r="A36" s="21" t="s">
        <v>47</v>
      </c>
      <c r="B36" s="22"/>
      <c r="C36" s="27"/>
      <c r="D36" s="24"/>
      <c r="E36" s="24"/>
      <c r="F36" s="28"/>
      <c r="G36" s="29"/>
    </row>
    <row r="37" spans="1:7" ht="30.75" customHeight="1" x14ac:dyDescent="0.15">
      <c r="A37" s="16" t="s">
        <v>48</v>
      </c>
      <c r="B37" s="19"/>
      <c r="C37" s="17"/>
      <c r="D37" s="19"/>
      <c r="E37" s="19"/>
      <c r="F37" s="17"/>
      <c r="G37" s="30"/>
    </row>
    <row r="38" spans="1:7" ht="30.75" customHeight="1" x14ac:dyDescent="0.15">
      <c r="A38" s="21" t="s">
        <v>49</v>
      </c>
      <c r="B38" s="22"/>
      <c r="C38" s="27"/>
      <c r="D38" s="24"/>
      <c r="E38" s="24"/>
      <c r="F38" s="28"/>
      <c r="G38" s="29"/>
    </row>
    <row r="39" spans="1:7" ht="30.75" customHeight="1" x14ac:dyDescent="0.15">
      <c r="A39" s="21" t="s">
        <v>50</v>
      </c>
      <c r="B39" s="22"/>
      <c r="C39" s="27"/>
      <c r="D39" s="24"/>
      <c r="E39" s="24"/>
      <c r="F39" s="28"/>
      <c r="G39" s="29"/>
    </row>
    <row r="40" spans="1:7" ht="30.75" customHeight="1" x14ac:dyDescent="0.15">
      <c r="A40" s="21" t="s">
        <v>51</v>
      </c>
      <c r="B40" s="22"/>
      <c r="C40" s="27"/>
      <c r="D40" s="24"/>
      <c r="E40" s="24"/>
      <c r="F40" s="28"/>
      <c r="G40" s="29"/>
    </row>
    <row r="41" spans="1:7" ht="30.75" customHeight="1" x14ac:dyDescent="0.15">
      <c r="A41" s="21" t="s">
        <v>52</v>
      </c>
      <c r="B41" s="22"/>
      <c r="C41" s="27"/>
      <c r="D41" s="24"/>
      <c r="E41" s="24"/>
      <c r="F41" s="28"/>
      <c r="G41" s="29"/>
    </row>
    <row r="42" spans="1:7" ht="30.75" customHeight="1" x14ac:dyDescent="0.15">
      <c r="A42" s="21" t="s">
        <v>53</v>
      </c>
      <c r="B42" s="22"/>
      <c r="C42" s="27"/>
      <c r="D42" s="24"/>
      <c r="E42" s="24"/>
      <c r="F42" s="28"/>
      <c r="G42" s="29"/>
    </row>
    <row r="43" spans="1:7" ht="30.75" customHeight="1" x14ac:dyDescent="0.15">
      <c r="A43" s="21" t="s">
        <v>54</v>
      </c>
      <c r="B43" s="22"/>
      <c r="C43" s="27"/>
      <c r="D43" s="24"/>
      <c r="E43" s="24"/>
      <c r="F43" s="28"/>
      <c r="G43" s="29"/>
    </row>
    <row r="44" spans="1:7" ht="30.75" customHeight="1" x14ac:dyDescent="0.15">
      <c r="A44" s="21" t="s">
        <v>55</v>
      </c>
      <c r="B44" s="22"/>
      <c r="C44" s="27"/>
      <c r="D44" s="24"/>
      <c r="E44" s="24"/>
      <c r="F44" s="28"/>
      <c r="G44" s="29"/>
    </row>
    <row r="45" spans="1:7" ht="30.75" customHeight="1" x14ac:dyDescent="0.15">
      <c r="A45" s="21" t="s">
        <v>56</v>
      </c>
      <c r="B45" s="22"/>
      <c r="C45" s="27"/>
      <c r="D45" s="24"/>
      <c r="E45" s="24"/>
      <c r="F45" s="28"/>
      <c r="G45" s="29"/>
    </row>
    <row r="46" spans="1:7" ht="30.75" customHeight="1" x14ac:dyDescent="0.15">
      <c r="A46" s="21" t="s">
        <v>57</v>
      </c>
      <c r="B46" s="22"/>
      <c r="C46" s="27"/>
      <c r="D46" s="24"/>
      <c r="E46" s="24"/>
      <c r="F46" s="28"/>
      <c r="G46" s="29"/>
    </row>
    <row r="47" spans="1:7" ht="30.75" customHeight="1" x14ac:dyDescent="0.15">
      <c r="A47" s="21" t="s">
        <v>58</v>
      </c>
      <c r="B47" s="22"/>
      <c r="C47" s="27"/>
      <c r="D47" s="24"/>
      <c r="E47" s="24"/>
      <c r="F47" s="28"/>
      <c r="G47" s="29"/>
    </row>
    <row r="48" spans="1:7" ht="30.75" customHeight="1" x14ac:dyDescent="0.15">
      <c r="A48" s="16" t="s">
        <v>59</v>
      </c>
      <c r="B48" s="19"/>
      <c r="C48" s="17"/>
      <c r="D48" s="19"/>
      <c r="E48" s="19"/>
      <c r="F48" s="17"/>
      <c r="G48" s="30"/>
    </row>
    <row r="49" spans="1:7" ht="30.75" customHeight="1" x14ac:dyDescent="0.15">
      <c r="A49" s="21" t="s">
        <v>60</v>
      </c>
      <c r="B49" s="22"/>
      <c r="C49" s="27"/>
      <c r="D49" s="24"/>
      <c r="E49" s="24"/>
      <c r="F49" s="28"/>
      <c r="G49" s="29"/>
    </row>
    <row r="50" spans="1:7" ht="30.75" customHeight="1" x14ac:dyDescent="0.15">
      <c r="A50" s="21" t="s">
        <v>61</v>
      </c>
      <c r="B50" s="22"/>
      <c r="C50" s="27"/>
      <c r="D50" s="24"/>
      <c r="E50" s="24"/>
      <c r="F50" s="28"/>
      <c r="G50" s="29"/>
    </row>
    <row r="51" spans="1:7" ht="30.75" customHeight="1" x14ac:dyDescent="0.15">
      <c r="A51" s="21" t="s">
        <v>62</v>
      </c>
      <c r="B51" s="22"/>
      <c r="C51" s="27"/>
      <c r="D51" s="24"/>
      <c r="E51" s="24"/>
      <c r="F51" s="28"/>
      <c r="G51" s="29"/>
    </row>
    <row r="52" spans="1:7" ht="30.75" customHeight="1" x14ac:dyDescent="0.15">
      <c r="A52" s="21" t="s">
        <v>63</v>
      </c>
      <c r="B52" s="22"/>
      <c r="C52" s="27"/>
      <c r="D52" s="24"/>
      <c r="E52" s="24"/>
      <c r="F52" s="28"/>
      <c r="G52" s="29"/>
    </row>
    <row r="53" spans="1:7" ht="30.75" customHeight="1" x14ac:dyDescent="0.15">
      <c r="A53" s="21" t="s">
        <v>64</v>
      </c>
      <c r="B53" s="22"/>
      <c r="C53" s="27"/>
      <c r="D53" s="24"/>
      <c r="E53" s="24"/>
      <c r="F53" s="28"/>
      <c r="G53" s="29"/>
    </row>
    <row r="54" spans="1:7" ht="30.75" customHeight="1" x14ac:dyDescent="0.15">
      <c r="A54" s="21" t="s">
        <v>65</v>
      </c>
      <c r="B54" s="22"/>
      <c r="C54" s="27"/>
      <c r="D54" s="24"/>
      <c r="E54" s="24"/>
      <c r="F54" s="28"/>
      <c r="G54" s="29"/>
    </row>
    <row r="55" spans="1:7" ht="30.75" customHeight="1" x14ac:dyDescent="0.15">
      <c r="A55" s="21" t="s">
        <v>66</v>
      </c>
      <c r="B55" s="22"/>
      <c r="C55" s="27"/>
      <c r="D55" s="24"/>
      <c r="E55" s="24"/>
      <c r="F55" s="28"/>
      <c r="G55" s="29"/>
    </row>
    <row r="56" spans="1:7" ht="30.75" customHeight="1" x14ac:dyDescent="0.15">
      <c r="A56" s="21" t="s">
        <v>67</v>
      </c>
      <c r="B56" s="22"/>
      <c r="C56" s="27"/>
      <c r="D56" s="24"/>
      <c r="E56" s="24"/>
      <c r="F56" s="28"/>
      <c r="G56" s="29"/>
    </row>
    <row r="57" spans="1:7" ht="30.75" customHeight="1" x14ac:dyDescent="0.15">
      <c r="A57" s="21" t="s">
        <v>68</v>
      </c>
      <c r="B57" s="22"/>
      <c r="C57" s="27"/>
      <c r="D57" s="24"/>
      <c r="E57" s="24"/>
      <c r="F57" s="28"/>
      <c r="G57" s="29"/>
    </row>
    <row r="58" spans="1:7" ht="30.75" customHeight="1" x14ac:dyDescent="0.15">
      <c r="A58" s="21" t="s">
        <v>69</v>
      </c>
      <c r="B58" s="22"/>
      <c r="C58" s="27"/>
      <c r="D58" s="24"/>
      <c r="E58" s="24"/>
      <c r="F58" s="28"/>
      <c r="G58" s="29"/>
    </row>
    <row r="59" spans="1:7" ht="30.75" customHeight="1" x14ac:dyDescent="0.15">
      <c r="A59" s="16" t="s">
        <v>70</v>
      </c>
      <c r="B59" s="19"/>
      <c r="C59" s="17"/>
      <c r="D59" s="19"/>
      <c r="E59" s="19"/>
      <c r="F59" s="17"/>
      <c r="G59" s="30"/>
    </row>
    <row r="60" spans="1:7" ht="30.75" customHeight="1" x14ac:dyDescent="0.15">
      <c r="A60" s="21" t="s">
        <v>71</v>
      </c>
      <c r="B60" s="22"/>
      <c r="C60" s="27"/>
      <c r="D60" s="24"/>
      <c r="E60" s="24"/>
      <c r="F60" s="28"/>
      <c r="G60" s="29"/>
    </row>
    <row r="61" spans="1:7" ht="30.75" customHeight="1" x14ac:dyDescent="0.15">
      <c r="A61" s="21" t="s">
        <v>72</v>
      </c>
      <c r="B61" s="22"/>
      <c r="C61" s="27"/>
      <c r="D61" s="24"/>
      <c r="E61" s="24"/>
      <c r="F61" s="28"/>
      <c r="G61" s="29"/>
    </row>
    <row r="62" spans="1:7" ht="30.75" customHeight="1" x14ac:dyDescent="0.15">
      <c r="A62" s="21" t="s">
        <v>73</v>
      </c>
      <c r="B62" s="22"/>
      <c r="C62" s="27"/>
      <c r="D62" s="24"/>
      <c r="E62" s="24"/>
      <c r="F62" s="28"/>
      <c r="G62" s="29"/>
    </row>
    <row r="63" spans="1:7" ht="30.75" customHeight="1" x14ac:dyDescent="0.15">
      <c r="A63" s="21" t="s">
        <v>74</v>
      </c>
      <c r="B63" s="22"/>
      <c r="C63" s="27"/>
      <c r="D63" s="24"/>
      <c r="E63" s="24"/>
      <c r="F63" s="28"/>
      <c r="G63" s="29"/>
    </row>
    <row r="64" spans="1:7" ht="30.75" customHeight="1" x14ac:dyDescent="0.15">
      <c r="A64" s="21" t="s">
        <v>75</v>
      </c>
      <c r="B64" s="22"/>
      <c r="C64" s="27"/>
      <c r="D64" s="24"/>
      <c r="E64" s="24"/>
      <c r="F64" s="28"/>
      <c r="G64" s="29"/>
    </row>
    <row r="65" spans="1:7" ht="30.75" customHeight="1" x14ac:dyDescent="0.15">
      <c r="A65" s="21" t="s">
        <v>76</v>
      </c>
      <c r="B65" s="22"/>
      <c r="C65" s="27"/>
      <c r="D65" s="24"/>
      <c r="E65" s="24"/>
      <c r="F65" s="28"/>
      <c r="G65" s="29"/>
    </row>
    <row r="66" spans="1:7" ht="30.75" customHeight="1" x14ac:dyDescent="0.15">
      <c r="A66" s="21" t="s">
        <v>77</v>
      </c>
      <c r="B66" s="22"/>
      <c r="C66" s="27"/>
      <c r="D66" s="24"/>
      <c r="E66" s="24"/>
      <c r="F66" s="28"/>
      <c r="G66" s="29"/>
    </row>
    <row r="67" spans="1:7" ht="30.75" customHeight="1" x14ac:dyDescent="0.15">
      <c r="A67" s="21" t="s">
        <v>78</v>
      </c>
      <c r="B67" s="22"/>
      <c r="C67" s="27"/>
      <c r="D67" s="24"/>
      <c r="E67" s="24"/>
      <c r="F67" s="28"/>
      <c r="G67" s="29"/>
    </row>
    <row r="68" spans="1:7" ht="30.75" customHeight="1" x14ac:dyDescent="0.15">
      <c r="A68" s="21" t="s">
        <v>79</v>
      </c>
      <c r="B68" s="22"/>
      <c r="C68" s="27"/>
      <c r="D68" s="24"/>
      <c r="E68" s="24"/>
      <c r="F68" s="28"/>
      <c r="G68" s="29"/>
    </row>
    <row r="69" spans="1:7" ht="30.75" customHeight="1" x14ac:dyDescent="0.15">
      <c r="A69" s="21" t="s">
        <v>80</v>
      </c>
      <c r="B69" s="22"/>
      <c r="C69" s="27"/>
      <c r="D69" s="24"/>
      <c r="E69" s="24"/>
      <c r="F69" s="28"/>
      <c r="G69" s="29"/>
    </row>
    <row r="70" spans="1:7" ht="30.75" customHeight="1" x14ac:dyDescent="0.15">
      <c r="A70" s="13" t="s">
        <v>81</v>
      </c>
      <c r="B70" s="31"/>
      <c r="C70" s="14"/>
      <c r="D70" s="31"/>
      <c r="E70" s="31"/>
      <c r="F70" s="14"/>
      <c r="G70" s="15"/>
    </row>
    <row r="71" spans="1:7" ht="30.75" customHeight="1" x14ac:dyDescent="0.15">
      <c r="A71" s="16" t="s">
        <v>82</v>
      </c>
      <c r="B71" s="32"/>
      <c r="C71" s="33"/>
      <c r="D71" s="32"/>
      <c r="E71" s="32"/>
      <c r="F71" s="33"/>
      <c r="G71" s="34"/>
    </row>
    <row r="72" spans="1:7" ht="30.75" customHeight="1" x14ac:dyDescent="0.15">
      <c r="A72" s="21" t="s">
        <v>83</v>
      </c>
      <c r="B72" s="22"/>
      <c r="C72" s="27"/>
      <c r="D72" s="24"/>
      <c r="E72" s="24"/>
      <c r="F72" s="28"/>
      <c r="G72" s="29"/>
    </row>
    <row r="73" spans="1:7" ht="30.75" customHeight="1" x14ac:dyDescent="0.15">
      <c r="A73" s="21" t="s">
        <v>84</v>
      </c>
      <c r="B73" s="22"/>
      <c r="C73" s="27"/>
      <c r="D73" s="24"/>
      <c r="E73" s="24"/>
      <c r="F73" s="28"/>
      <c r="G73" s="29"/>
    </row>
    <row r="74" spans="1:7" ht="30.75" customHeight="1" x14ac:dyDescent="0.15">
      <c r="A74" s="21" t="s">
        <v>85</v>
      </c>
      <c r="B74" s="22"/>
      <c r="C74" s="27"/>
      <c r="D74" s="24"/>
      <c r="E74" s="24"/>
      <c r="F74" s="28"/>
      <c r="G74" s="29"/>
    </row>
    <row r="75" spans="1:7" ht="30.75" customHeight="1" x14ac:dyDescent="0.15">
      <c r="A75" s="21" t="s">
        <v>86</v>
      </c>
      <c r="B75" s="22"/>
      <c r="C75" s="27"/>
      <c r="D75" s="24"/>
      <c r="E75" s="24"/>
      <c r="F75" s="28"/>
      <c r="G75" s="29"/>
    </row>
    <row r="76" spans="1:7" ht="30.75" customHeight="1" x14ac:dyDescent="0.15">
      <c r="A76" s="21" t="s">
        <v>87</v>
      </c>
      <c r="B76" s="22"/>
      <c r="C76" s="27"/>
      <c r="D76" s="24"/>
      <c r="E76" s="24"/>
      <c r="F76" s="28"/>
      <c r="G76" s="29"/>
    </row>
    <row r="77" spans="1:7" ht="30.75" customHeight="1" x14ac:dyDescent="0.15">
      <c r="A77" s="21" t="s">
        <v>88</v>
      </c>
      <c r="B77" s="22"/>
      <c r="C77" s="27"/>
      <c r="D77" s="24"/>
      <c r="E77" s="24"/>
      <c r="F77" s="28"/>
      <c r="G77" s="29"/>
    </row>
    <row r="78" spans="1:7" ht="30.75" customHeight="1" x14ac:dyDescent="0.15">
      <c r="A78" s="21" t="s">
        <v>89</v>
      </c>
      <c r="B78" s="22"/>
      <c r="C78" s="27"/>
      <c r="D78" s="24"/>
      <c r="E78" s="24"/>
      <c r="F78" s="28"/>
      <c r="G78" s="29"/>
    </row>
    <row r="79" spans="1:7" ht="30.75" customHeight="1" x14ac:dyDescent="0.15">
      <c r="A79" s="21" t="s">
        <v>90</v>
      </c>
      <c r="B79" s="22"/>
      <c r="C79" s="27"/>
      <c r="D79" s="24"/>
      <c r="E79" s="24"/>
      <c r="F79" s="28"/>
      <c r="G79" s="29"/>
    </row>
    <row r="80" spans="1:7" ht="30.75" customHeight="1" x14ac:dyDescent="0.15">
      <c r="A80" s="21" t="s">
        <v>91</v>
      </c>
      <c r="B80" s="22"/>
      <c r="C80" s="27"/>
      <c r="D80" s="24"/>
      <c r="E80" s="24"/>
      <c r="F80" s="28"/>
      <c r="G80" s="29"/>
    </row>
    <row r="81" spans="1:7" ht="30.75" customHeight="1" x14ac:dyDescent="0.15">
      <c r="A81" s="21" t="s">
        <v>92</v>
      </c>
      <c r="B81" s="22"/>
      <c r="C81" s="27"/>
      <c r="D81" s="24"/>
      <c r="E81" s="24"/>
      <c r="F81" s="28"/>
      <c r="G81" s="29"/>
    </row>
    <row r="82" spans="1:7" ht="30.75" customHeight="1" x14ac:dyDescent="0.15">
      <c r="A82" s="16" t="s">
        <v>93</v>
      </c>
      <c r="B82" s="19"/>
      <c r="C82" s="17"/>
      <c r="D82" s="19"/>
      <c r="E82" s="19"/>
      <c r="F82" s="17"/>
      <c r="G82" s="30"/>
    </row>
    <row r="83" spans="1:7" ht="30.75" customHeight="1" x14ac:dyDescent="0.15">
      <c r="A83" s="21" t="s">
        <v>94</v>
      </c>
      <c r="B83" s="22"/>
      <c r="C83" s="27"/>
      <c r="D83" s="24"/>
      <c r="E83" s="24"/>
      <c r="F83" s="28"/>
      <c r="G83" s="29"/>
    </row>
    <row r="84" spans="1:7" ht="30.75" customHeight="1" x14ac:dyDescent="0.15">
      <c r="A84" s="21" t="s">
        <v>95</v>
      </c>
      <c r="B84" s="22"/>
      <c r="C84" s="27"/>
      <c r="D84" s="24"/>
      <c r="E84" s="24"/>
      <c r="F84" s="28"/>
      <c r="G84" s="29"/>
    </row>
    <row r="85" spans="1:7" ht="30.75" customHeight="1" x14ac:dyDescent="0.15">
      <c r="A85" s="21" t="s">
        <v>96</v>
      </c>
      <c r="B85" s="22"/>
      <c r="C85" s="27"/>
      <c r="D85" s="24"/>
      <c r="E85" s="24"/>
      <c r="F85" s="28"/>
      <c r="G85" s="29"/>
    </row>
    <row r="86" spans="1:7" ht="30.75" customHeight="1" x14ac:dyDescent="0.15">
      <c r="A86" s="21" t="s">
        <v>97</v>
      </c>
      <c r="B86" s="22"/>
      <c r="C86" s="27"/>
      <c r="D86" s="24"/>
      <c r="E86" s="24"/>
      <c r="F86" s="28"/>
      <c r="G86" s="29"/>
    </row>
    <row r="87" spans="1:7" ht="30.75" customHeight="1" x14ac:dyDescent="0.15">
      <c r="A87" s="21" t="s">
        <v>98</v>
      </c>
      <c r="B87" s="22"/>
      <c r="C87" s="27"/>
      <c r="D87" s="24"/>
      <c r="E87" s="24"/>
      <c r="F87" s="28"/>
      <c r="G87" s="29"/>
    </row>
    <row r="88" spans="1:7" ht="30.75" customHeight="1" x14ac:dyDescent="0.15">
      <c r="A88" s="21" t="s">
        <v>99</v>
      </c>
      <c r="B88" s="22"/>
      <c r="C88" s="27"/>
      <c r="D88" s="24"/>
      <c r="E88" s="24"/>
      <c r="F88" s="28"/>
      <c r="G88" s="29"/>
    </row>
    <row r="89" spans="1:7" ht="30.75" customHeight="1" x14ac:dyDescent="0.15">
      <c r="A89" s="21" t="s">
        <v>100</v>
      </c>
      <c r="B89" s="22"/>
      <c r="C89" s="27"/>
      <c r="D89" s="24"/>
      <c r="E89" s="24"/>
      <c r="F89" s="28"/>
      <c r="G89" s="29"/>
    </row>
    <row r="90" spans="1:7" ht="30.75" customHeight="1" x14ac:dyDescent="0.15">
      <c r="A90" s="21" t="s">
        <v>101</v>
      </c>
      <c r="B90" s="22"/>
      <c r="C90" s="27"/>
      <c r="D90" s="24"/>
      <c r="E90" s="24"/>
      <c r="F90" s="28"/>
      <c r="G90" s="29"/>
    </row>
    <row r="91" spans="1:7" ht="30.75" customHeight="1" x14ac:dyDescent="0.15">
      <c r="A91" s="21" t="s">
        <v>102</v>
      </c>
      <c r="B91" s="22"/>
      <c r="C91" s="27"/>
      <c r="D91" s="24"/>
      <c r="E91" s="24"/>
      <c r="F91" s="28"/>
      <c r="G91" s="29"/>
    </row>
    <row r="92" spans="1:7" ht="30.75" customHeight="1" x14ac:dyDescent="0.15">
      <c r="A92" s="21" t="s">
        <v>103</v>
      </c>
      <c r="B92" s="22"/>
      <c r="C92" s="27"/>
      <c r="D92" s="24"/>
      <c r="E92" s="24"/>
      <c r="F92" s="28"/>
      <c r="G92" s="29"/>
    </row>
    <row r="93" spans="1:7" ht="30.75" customHeight="1" x14ac:dyDescent="0.15">
      <c r="A93" s="16" t="s">
        <v>104</v>
      </c>
      <c r="B93" s="19"/>
      <c r="C93" s="17"/>
      <c r="D93" s="19"/>
      <c r="E93" s="19"/>
      <c r="F93" s="17"/>
      <c r="G93" s="30"/>
    </row>
    <row r="94" spans="1:7" ht="30.75" customHeight="1" x14ac:dyDescent="0.15">
      <c r="A94" s="21" t="s">
        <v>105</v>
      </c>
      <c r="B94" s="22"/>
      <c r="C94" s="27"/>
      <c r="D94" s="24"/>
      <c r="E94" s="24"/>
      <c r="F94" s="28"/>
      <c r="G94" s="29"/>
    </row>
    <row r="95" spans="1:7" ht="30.75" customHeight="1" x14ac:dyDescent="0.15">
      <c r="A95" s="21" t="s">
        <v>106</v>
      </c>
      <c r="B95" s="22"/>
      <c r="C95" s="27"/>
      <c r="D95" s="24"/>
      <c r="E95" s="24"/>
      <c r="F95" s="28"/>
      <c r="G95" s="29"/>
    </row>
    <row r="96" spans="1:7" ht="30.75" customHeight="1" x14ac:dyDescent="0.15">
      <c r="A96" s="21" t="s">
        <v>107</v>
      </c>
      <c r="B96" s="22"/>
      <c r="C96" s="27"/>
      <c r="D96" s="24"/>
      <c r="E96" s="24"/>
      <c r="F96" s="28"/>
      <c r="G96" s="29"/>
    </row>
    <row r="97" spans="1:7" ht="30.75" customHeight="1" x14ac:dyDescent="0.15">
      <c r="A97" s="21" t="s">
        <v>108</v>
      </c>
      <c r="B97" s="22"/>
      <c r="C97" s="27"/>
      <c r="D97" s="24"/>
      <c r="E97" s="24"/>
      <c r="F97" s="28"/>
      <c r="G97" s="29"/>
    </row>
    <row r="98" spans="1:7" ht="30.75" customHeight="1" x14ac:dyDescent="0.15">
      <c r="A98" s="21" t="s">
        <v>109</v>
      </c>
      <c r="B98" s="22"/>
      <c r="C98" s="27"/>
      <c r="D98" s="24"/>
      <c r="E98" s="24"/>
      <c r="F98" s="28"/>
      <c r="G98" s="29"/>
    </row>
    <row r="99" spans="1:7" ht="30.75" customHeight="1" x14ac:dyDescent="0.15">
      <c r="A99" s="21" t="s">
        <v>110</v>
      </c>
      <c r="B99" s="22"/>
      <c r="C99" s="27"/>
      <c r="D99" s="24"/>
      <c r="E99" s="24"/>
      <c r="F99" s="28"/>
      <c r="G99" s="29"/>
    </row>
    <row r="100" spans="1:7" ht="30.75" customHeight="1" x14ac:dyDescent="0.15">
      <c r="A100" s="21" t="s">
        <v>111</v>
      </c>
      <c r="B100" s="22"/>
      <c r="C100" s="27"/>
      <c r="D100" s="24"/>
      <c r="E100" s="24"/>
      <c r="F100" s="28"/>
      <c r="G100" s="29"/>
    </row>
    <row r="101" spans="1:7" ht="30.75" customHeight="1" x14ac:dyDescent="0.15">
      <c r="A101" s="21" t="s">
        <v>112</v>
      </c>
      <c r="B101" s="22"/>
      <c r="C101" s="27"/>
      <c r="D101" s="24"/>
      <c r="E101" s="24"/>
      <c r="F101" s="28"/>
      <c r="G101" s="29"/>
    </row>
    <row r="102" spans="1:7" ht="30.75" customHeight="1" x14ac:dyDescent="0.15">
      <c r="A102" s="21" t="s">
        <v>113</v>
      </c>
      <c r="B102" s="22"/>
      <c r="C102" s="27"/>
      <c r="D102" s="24"/>
      <c r="E102" s="24"/>
      <c r="F102" s="28"/>
      <c r="G102" s="29"/>
    </row>
    <row r="103" spans="1:7" ht="30.75" customHeight="1" x14ac:dyDescent="0.15">
      <c r="A103" s="21" t="s">
        <v>114</v>
      </c>
      <c r="B103" s="22"/>
      <c r="C103" s="27"/>
      <c r="D103" s="24"/>
      <c r="E103" s="24"/>
      <c r="F103" s="28"/>
      <c r="G103" s="29"/>
    </row>
    <row r="104" spans="1:7" ht="30.75" customHeight="1" x14ac:dyDescent="0.15">
      <c r="A104" s="13" t="s">
        <v>115</v>
      </c>
      <c r="B104" s="31"/>
      <c r="C104" s="14"/>
      <c r="D104" s="31"/>
      <c r="E104" s="31"/>
      <c r="F104" s="14"/>
      <c r="G104" s="15"/>
    </row>
    <row r="105" spans="1:7" ht="30.75" customHeight="1" x14ac:dyDescent="0.15">
      <c r="A105" s="16" t="s">
        <v>116</v>
      </c>
      <c r="B105" s="32"/>
      <c r="C105" s="33"/>
      <c r="D105" s="32"/>
      <c r="E105" s="32"/>
      <c r="F105" s="33"/>
      <c r="G105" s="34"/>
    </row>
    <row r="106" spans="1:7" ht="30.75" customHeight="1" x14ac:dyDescent="0.15">
      <c r="A106" s="21" t="s">
        <v>117</v>
      </c>
      <c r="B106" s="22"/>
      <c r="C106" s="27"/>
      <c r="D106" s="24"/>
      <c r="E106" s="24"/>
      <c r="F106" s="28"/>
      <c r="G106" s="29"/>
    </row>
    <row r="107" spans="1:7" ht="30.75" customHeight="1" x14ac:dyDescent="0.15">
      <c r="A107" s="21" t="s">
        <v>118</v>
      </c>
      <c r="B107" s="22"/>
      <c r="C107" s="27"/>
      <c r="D107" s="24"/>
      <c r="E107" s="24"/>
      <c r="F107" s="28"/>
      <c r="G107" s="29"/>
    </row>
    <row r="108" spans="1:7" ht="30.75" customHeight="1" x14ac:dyDescent="0.15">
      <c r="A108" s="21" t="s">
        <v>119</v>
      </c>
      <c r="B108" s="22"/>
      <c r="C108" s="27"/>
      <c r="D108" s="24"/>
      <c r="E108" s="24"/>
      <c r="F108" s="28"/>
      <c r="G108" s="29"/>
    </row>
    <row r="109" spans="1:7" ht="30.75" customHeight="1" x14ac:dyDescent="0.15">
      <c r="A109" s="21" t="s">
        <v>120</v>
      </c>
      <c r="B109" s="22"/>
      <c r="C109" s="27"/>
      <c r="D109" s="24"/>
      <c r="E109" s="24"/>
      <c r="F109" s="28"/>
      <c r="G109" s="29"/>
    </row>
    <row r="110" spans="1:7" ht="30.75" customHeight="1" x14ac:dyDescent="0.15">
      <c r="A110" s="21" t="s">
        <v>121</v>
      </c>
      <c r="B110" s="22"/>
      <c r="C110" s="27"/>
      <c r="D110" s="24"/>
      <c r="E110" s="24"/>
      <c r="F110" s="28"/>
      <c r="G110" s="29"/>
    </row>
    <row r="111" spans="1:7" ht="30.75" customHeight="1" x14ac:dyDescent="0.15">
      <c r="A111" s="21" t="s">
        <v>122</v>
      </c>
      <c r="B111" s="22"/>
      <c r="C111" s="27"/>
      <c r="D111" s="24"/>
      <c r="E111" s="24"/>
      <c r="F111" s="28"/>
      <c r="G111" s="29"/>
    </row>
    <row r="112" spans="1:7" ht="30.75" customHeight="1" x14ac:dyDescent="0.15">
      <c r="A112" s="21" t="s">
        <v>123</v>
      </c>
      <c r="B112" s="22"/>
      <c r="C112" s="27"/>
      <c r="D112" s="24"/>
      <c r="E112" s="24"/>
      <c r="F112" s="28"/>
      <c r="G112" s="29"/>
    </row>
    <row r="113" spans="1:7" ht="30.75" customHeight="1" x14ac:dyDescent="0.15">
      <c r="A113" s="21" t="s">
        <v>124</v>
      </c>
      <c r="B113" s="22"/>
      <c r="C113" s="27"/>
      <c r="D113" s="24"/>
      <c r="E113" s="24"/>
      <c r="F113" s="28"/>
      <c r="G113" s="29"/>
    </row>
    <row r="114" spans="1:7" ht="30.75" customHeight="1" x14ac:dyDescent="0.15">
      <c r="A114" s="21" t="s">
        <v>125</v>
      </c>
      <c r="B114" s="22"/>
      <c r="C114" s="27"/>
      <c r="D114" s="24"/>
      <c r="E114" s="24"/>
      <c r="F114" s="28"/>
      <c r="G114" s="29"/>
    </row>
    <row r="115" spans="1:7" ht="30.75" customHeight="1" x14ac:dyDescent="0.15">
      <c r="A115" s="21" t="s">
        <v>126</v>
      </c>
      <c r="B115" s="22"/>
      <c r="C115" s="27"/>
      <c r="D115" s="24"/>
      <c r="E115" s="24"/>
      <c r="F115" s="28"/>
      <c r="G115" s="29"/>
    </row>
    <row r="116" spans="1:7" ht="30.75" customHeight="1" x14ac:dyDescent="0.15">
      <c r="A116" s="16" t="s">
        <v>127</v>
      </c>
      <c r="B116" s="32"/>
      <c r="C116" s="33"/>
      <c r="D116" s="32"/>
      <c r="E116" s="32"/>
      <c r="F116" s="33"/>
      <c r="G116" s="34"/>
    </row>
    <row r="117" spans="1:7" ht="30.75" customHeight="1" x14ac:dyDescent="0.15">
      <c r="A117" s="21" t="s">
        <v>128</v>
      </c>
      <c r="B117" s="22"/>
      <c r="C117" s="27"/>
      <c r="D117" s="24"/>
      <c r="E117" s="24"/>
      <c r="F117" s="28"/>
      <c r="G117" s="29"/>
    </row>
    <row r="118" spans="1:7" ht="30.75" customHeight="1" x14ac:dyDescent="0.15">
      <c r="A118" s="21" t="s">
        <v>129</v>
      </c>
      <c r="B118" s="22"/>
      <c r="C118" s="27"/>
      <c r="D118" s="24"/>
      <c r="E118" s="24"/>
      <c r="F118" s="28"/>
      <c r="G118" s="29"/>
    </row>
    <row r="119" spans="1:7" ht="30.75" customHeight="1" x14ac:dyDescent="0.15">
      <c r="A119" s="21" t="s">
        <v>130</v>
      </c>
      <c r="B119" s="22"/>
      <c r="C119" s="27"/>
      <c r="D119" s="24"/>
      <c r="E119" s="24"/>
      <c r="F119" s="28"/>
      <c r="G119" s="29"/>
    </row>
    <row r="120" spans="1:7" ht="30.75" customHeight="1" x14ac:dyDescent="0.15">
      <c r="A120" s="21" t="s">
        <v>131</v>
      </c>
      <c r="B120" s="22"/>
      <c r="C120" s="27"/>
      <c r="D120" s="24"/>
      <c r="E120" s="24"/>
      <c r="F120" s="28"/>
      <c r="G120" s="29"/>
    </row>
    <row r="121" spans="1:7" ht="30.75" customHeight="1" x14ac:dyDescent="0.15">
      <c r="A121" s="21" t="s">
        <v>132</v>
      </c>
      <c r="B121" s="22"/>
      <c r="C121" s="27"/>
      <c r="D121" s="24"/>
      <c r="E121" s="24"/>
      <c r="F121" s="28"/>
      <c r="G121" s="29"/>
    </row>
    <row r="122" spans="1:7" ht="30.75" customHeight="1" x14ac:dyDescent="0.15">
      <c r="A122" s="21" t="s">
        <v>133</v>
      </c>
      <c r="B122" s="22"/>
      <c r="C122" s="27"/>
      <c r="D122" s="24"/>
      <c r="E122" s="24"/>
      <c r="F122" s="28"/>
      <c r="G122" s="29"/>
    </row>
    <row r="123" spans="1:7" ht="30.75" customHeight="1" x14ac:dyDescent="0.15">
      <c r="A123" s="21" t="s">
        <v>134</v>
      </c>
      <c r="B123" s="22"/>
      <c r="C123" s="27"/>
      <c r="D123" s="24"/>
      <c r="E123" s="24"/>
      <c r="F123" s="28"/>
      <c r="G123" s="29"/>
    </row>
    <row r="124" spans="1:7" ht="30.75" customHeight="1" x14ac:dyDescent="0.15">
      <c r="A124" s="21" t="s">
        <v>135</v>
      </c>
      <c r="B124" s="22"/>
      <c r="C124" s="27"/>
      <c r="D124" s="24"/>
      <c r="E124" s="24"/>
      <c r="F124" s="28"/>
      <c r="G124" s="29"/>
    </row>
    <row r="125" spans="1:7" ht="30.75" customHeight="1" x14ac:dyDescent="0.15">
      <c r="A125" s="21" t="s">
        <v>136</v>
      </c>
      <c r="B125" s="22"/>
      <c r="C125" s="27"/>
      <c r="D125" s="24"/>
      <c r="E125" s="24"/>
      <c r="F125" s="28"/>
      <c r="G125" s="29"/>
    </row>
    <row r="126" spans="1:7" ht="30.75" customHeight="1" x14ac:dyDescent="0.15">
      <c r="A126" s="21" t="s">
        <v>137</v>
      </c>
      <c r="B126" s="22"/>
      <c r="C126" s="27"/>
      <c r="D126" s="24"/>
      <c r="E126" s="24"/>
      <c r="F126" s="28"/>
      <c r="G126" s="29"/>
    </row>
    <row r="127" spans="1:7" ht="30.75" customHeight="1" x14ac:dyDescent="0.15">
      <c r="A127" s="16" t="s">
        <v>138</v>
      </c>
      <c r="B127" s="32"/>
      <c r="C127" s="33"/>
      <c r="D127" s="32"/>
      <c r="E127" s="32"/>
      <c r="F127" s="33"/>
      <c r="G127" s="34"/>
    </row>
    <row r="128" spans="1:7" ht="30.75" customHeight="1" x14ac:dyDescent="0.15">
      <c r="A128" s="21" t="s">
        <v>139</v>
      </c>
      <c r="B128" s="22"/>
      <c r="C128" s="27"/>
      <c r="D128" s="24"/>
      <c r="E128" s="24"/>
      <c r="F128" s="28"/>
      <c r="G128" s="29"/>
    </row>
    <row r="129" spans="1:7" ht="30.75" customHeight="1" x14ac:dyDescent="0.15">
      <c r="A129" s="21" t="s">
        <v>140</v>
      </c>
      <c r="B129" s="22"/>
      <c r="C129" s="27"/>
      <c r="D129" s="24"/>
      <c r="E129" s="24"/>
      <c r="F129" s="28"/>
      <c r="G129" s="29"/>
    </row>
    <row r="130" spans="1:7" ht="30.75" customHeight="1" x14ac:dyDescent="0.15">
      <c r="A130" s="21" t="s">
        <v>141</v>
      </c>
      <c r="B130" s="22"/>
      <c r="C130" s="27"/>
      <c r="D130" s="24"/>
      <c r="E130" s="24"/>
      <c r="F130" s="28"/>
      <c r="G130" s="29"/>
    </row>
    <row r="131" spans="1:7" ht="30.75" customHeight="1" x14ac:dyDescent="0.15">
      <c r="A131" s="21" t="s">
        <v>142</v>
      </c>
      <c r="B131" s="22"/>
      <c r="C131" s="27"/>
      <c r="D131" s="24"/>
      <c r="E131" s="24"/>
      <c r="F131" s="28"/>
      <c r="G131" s="29"/>
    </row>
    <row r="132" spans="1:7" ht="30.75" customHeight="1" x14ac:dyDescent="0.15">
      <c r="A132" s="21" t="s">
        <v>143</v>
      </c>
      <c r="B132" s="22"/>
      <c r="C132" s="27"/>
      <c r="D132" s="24"/>
      <c r="E132" s="24"/>
      <c r="F132" s="28"/>
      <c r="G132" s="29"/>
    </row>
    <row r="133" spans="1:7" ht="30.75" customHeight="1" x14ac:dyDescent="0.15">
      <c r="A133" s="21" t="s">
        <v>144</v>
      </c>
      <c r="B133" s="22"/>
      <c r="C133" s="27"/>
      <c r="D133" s="24"/>
      <c r="E133" s="24"/>
      <c r="F133" s="28"/>
      <c r="G133" s="29"/>
    </row>
    <row r="134" spans="1:7" ht="30.75" customHeight="1" x14ac:dyDescent="0.15">
      <c r="A134" s="21" t="s">
        <v>145</v>
      </c>
      <c r="B134" s="22"/>
      <c r="C134" s="27"/>
      <c r="D134" s="24"/>
      <c r="E134" s="24"/>
      <c r="F134" s="28"/>
      <c r="G134" s="29"/>
    </row>
    <row r="135" spans="1:7" ht="30.75" customHeight="1" x14ac:dyDescent="0.15">
      <c r="A135" s="21" t="s">
        <v>146</v>
      </c>
      <c r="B135" s="22"/>
      <c r="C135" s="27"/>
      <c r="D135" s="24"/>
      <c r="E135" s="24"/>
      <c r="F135" s="28"/>
      <c r="G135" s="29"/>
    </row>
    <row r="136" spans="1:7" ht="30.75" customHeight="1" x14ac:dyDescent="0.15">
      <c r="A136" s="21" t="s">
        <v>147</v>
      </c>
      <c r="B136" s="22"/>
      <c r="C136" s="27"/>
      <c r="D136" s="24"/>
      <c r="E136" s="24"/>
      <c r="F136" s="28"/>
      <c r="G136" s="29"/>
    </row>
    <row r="137" spans="1:7" ht="30.75" customHeight="1" x14ac:dyDescent="0.15">
      <c r="A137" s="21" t="s">
        <v>148</v>
      </c>
      <c r="B137" s="22"/>
      <c r="C137" s="27"/>
      <c r="D137" s="24"/>
      <c r="E137" s="24"/>
      <c r="F137" s="28"/>
      <c r="G137" s="29"/>
    </row>
    <row r="138" spans="1:7" ht="30.75" customHeight="1" x14ac:dyDescent="0.15">
      <c r="A138" s="16" t="s">
        <v>149</v>
      </c>
      <c r="B138" s="32"/>
      <c r="C138" s="33"/>
      <c r="D138" s="32"/>
      <c r="E138" s="32"/>
      <c r="F138" s="33"/>
      <c r="G138" s="34"/>
    </row>
    <row r="139" spans="1:7" ht="30.75" customHeight="1" x14ac:dyDescent="0.15">
      <c r="A139" s="21" t="s">
        <v>150</v>
      </c>
      <c r="B139" s="22"/>
      <c r="C139" s="27"/>
      <c r="D139" s="24"/>
      <c r="E139" s="24"/>
      <c r="F139" s="28"/>
      <c r="G139" s="29"/>
    </row>
    <row r="140" spans="1:7" ht="30.75" customHeight="1" x14ac:dyDescent="0.15">
      <c r="A140" s="21" t="s">
        <v>151</v>
      </c>
      <c r="B140" s="22"/>
      <c r="C140" s="27"/>
      <c r="D140" s="24"/>
      <c r="E140" s="24"/>
      <c r="F140" s="28"/>
      <c r="G140" s="29"/>
    </row>
    <row r="141" spans="1:7" ht="30.75" customHeight="1" x14ac:dyDescent="0.15">
      <c r="A141" s="21" t="s">
        <v>152</v>
      </c>
      <c r="B141" s="22"/>
      <c r="C141" s="27"/>
      <c r="D141" s="24"/>
      <c r="E141" s="24"/>
      <c r="F141" s="28"/>
      <c r="G141" s="29"/>
    </row>
    <row r="142" spans="1:7" ht="30.75" customHeight="1" x14ac:dyDescent="0.15">
      <c r="A142" s="21" t="s">
        <v>153</v>
      </c>
      <c r="B142" s="22"/>
      <c r="C142" s="27"/>
      <c r="D142" s="24"/>
      <c r="E142" s="24"/>
      <c r="F142" s="28"/>
      <c r="G142" s="29"/>
    </row>
    <row r="143" spans="1:7" ht="30.75" customHeight="1" x14ac:dyDescent="0.15">
      <c r="A143" s="21" t="s">
        <v>154</v>
      </c>
      <c r="B143" s="22"/>
      <c r="C143" s="27"/>
      <c r="D143" s="24"/>
      <c r="E143" s="24"/>
      <c r="F143" s="28"/>
      <c r="G143" s="29"/>
    </row>
    <row r="144" spans="1:7" ht="30.75" customHeight="1" x14ac:dyDescent="0.15">
      <c r="A144" s="21" t="s">
        <v>155</v>
      </c>
      <c r="B144" s="22"/>
      <c r="C144" s="27"/>
      <c r="D144" s="24"/>
      <c r="E144" s="24"/>
      <c r="F144" s="28"/>
      <c r="G144" s="29"/>
    </row>
    <row r="145" spans="1:7" ht="30.75" customHeight="1" x14ac:dyDescent="0.15">
      <c r="A145" s="21" t="s">
        <v>156</v>
      </c>
      <c r="B145" s="22"/>
      <c r="C145" s="27"/>
      <c r="D145" s="24"/>
      <c r="E145" s="24"/>
      <c r="F145" s="28"/>
      <c r="G145" s="29"/>
    </row>
    <row r="146" spans="1:7" ht="30.75" customHeight="1" x14ac:dyDescent="0.15">
      <c r="A146" s="21" t="s">
        <v>157</v>
      </c>
      <c r="B146" s="22"/>
      <c r="C146" s="27"/>
      <c r="D146" s="24"/>
      <c r="E146" s="24"/>
      <c r="F146" s="28"/>
      <c r="G146" s="29"/>
    </row>
    <row r="147" spans="1:7" ht="30.75" customHeight="1" x14ac:dyDescent="0.15">
      <c r="A147" s="21" t="s">
        <v>158</v>
      </c>
      <c r="B147" s="22"/>
      <c r="C147" s="27"/>
      <c r="D147" s="24"/>
      <c r="E147" s="24"/>
      <c r="F147" s="28"/>
      <c r="G147" s="29"/>
    </row>
    <row r="148" spans="1:7" ht="30.75" customHeight="1" x14ac:dyDescent="0.15">
      <c r="A148" s="21" t="s">
        <v>159</v>
      </c>
      <c r="B148" s="22"/>
      <c r="C148" s="27"/>
      <c r="D148" s="24"/>
      <c r="E148" s="24"/>
      <c r="F148" s="28"/>
      <c r="G148" s="29"/>
    </row>
    <row r="149" spans="1:7" ht="30.75" customHeight="1" x14ac:dyDescent="0.15">
      <c r="A149" s="16" t="s">
        <v>160</v>
      </c>
      <c r="B149" s="32"/>
      <c r="C149" s="33"/>
      <c r="D149" s="32"/>
      <c r="E149" s="32"/>
      <c r="F149" s="33"/>
      <c r="G149" s="34"/>
    </row>
    <row r="150" spans="1:7" ht="30.75" customHeight="1" x14ac:dyDescent="0.15">
      <c r="A150" s="21" t="s">
        <v>161</v>
      </c>
      <c r="B150" s="22"/>
      <c r="C150" s="27"/>
      <c r="D150" s="24"/>
      <c r="E150" s="24"/>
      <c r="F150" s="28"/>
      <c r="G150" s="29"/>
    </row>
    <row r="151" spans="1:7" ht="30.75" customHeight="1" x14ac:dyDescent="0.15">
      <c r="A151" s="21" t="s">
        <v>162</v>
      </c>
      <c r="B151" s="22"/>
      <c r="C151" s="27"/>
      <c r="D151" s="24"/>
      <c r="E151" s="24"/>
      <c r="F151" s="28"/>
      <c r="G151" s="29"/>
    </row>
    <row r="152" spans="1:7" ht="30.75" customHeight="1" x14ac:dyDescent="0.15">
      <c r="A152" s="21" t="s">
        <v>163</v>
      </c>
      <c r="B152" s="22"/>
      <c r="C152" s="27"/>
      <c r="D152" s="24"/>
      <c r="E152" s="24"/>
      <c r="F152" s="28"/>
      <c r="G152" s="29"/>
    </row>
    <row r="153" spans="1:7" ht="30.75" customHeight="1" x14ac:dyDescent="0.15">
      <c r="A153" s="21" t="s">
        <v>164</v>
      </c>
      <c r="B153" s="22"/>
      <c r="C153" s="27"/>
      <c r="D153" s="24"/>
      <c r="E153" s="24"/>
      <c r="F153" s="28"/>
      <c r="G153" s="29"/>
    </row>
    <row r="154" spans="1:7" ht="30.75" customHeight="1" x14ac:dyDescent="0.15">
      <c r="A154" s="21" t="s">
        <v>165</v>
      </c>
      <c r="B154" s="22"/>
      <c r="C154" s="27"/>
      <c r="D154" s="24"/>
      <c r="E154" s="24"/>
      <c r="F154" s="28"/>
      <c r="G154" s="29"/>
    </row>
    <row r="155" spans="1:7" ht="30.75" customHeight="1" x14ac:dyDescent="0.15">
      <c r="A155" s="21" t="s">
        <v>166</v>
      </c>
      <c r="B155" s="22"/>
      <c r="C155" s="27"/>
      <c r="D155" s="24"/>
      <c r="E155" s="24"/>
      <c r="F155" s="28"/>
      <c r="G155" s="29"/>
    </row>
    <row r="156" spans="1:7" ht="30.75" customHeight="1" x14ac:dyDescent="0.15">
      <c r="A156" s="21" t="s">
        <v>167</v>
      </c>
      <c r="B156" s="22"/>
      <c r="C156" s="27"/>
      <c r="D156" s="24"/>
      <c r="E156" s="24"/>
      <c r="F156" s="28"/>
      <c r="G156" s="29"/>
    </row>
    <row r="157" spans="1:7" ht="30.75" customHeight="1" x14ac:dyDescent="0.15">
      <c r="A157" s="21" t="s">
        <v>168</v>
      </c>
      <c r="B157" s="22"/>
      <c r="C157" s="27"/>
      <c r="D157" s="24"/>
      <c r="E157" s="24"/>
      <c r="F157" s="28"/>
      <c r="G157" s="29"/>
    </row>
    <row r="158" spans="1:7" ht="30.75" customHeight="1" x14ac:dyDescent="0.15">
      <c r="A158" s="21" t="s">
        <v>169</v>
      </c>
      <c r="B158" s="22"/>
      <c r="C158" s="27"/>
      <c r="D158" s="24"/>
      <c r="E158" s="24"/>
      <c r="F158" s="28"/>
      <c r="G158" s="29"/>
    </row>
    <row r="159" spans="1:7" ht="30.75" customHeight="1" x14ac:dyDescent="0.15">
      <c r="A159" s="21" t="s">
        <v>170</v>
      </c>
      <c r="B159" s="22"/>
      <c r="C159" s="27"/>
      <c r="D159" s="24"/>
      <c r="E159" s="24"/>
      <c r="F159" s="28"/>
      <c r="G159" s="29"/>
    </row>
    <row r="160" spans="1:7" ht="30.75" customHeight="1" x14ac:dyDescent="0.15">
      <c r="A160" s="13" t="s">
        <v>171</v>
      </c>
      <c r="B160" s="31"/>
      <c r="C160" s="14"/>
      <c r="D160" s="31"/>
      <c r="E160" s="31"/>
      <c r="F160" s="14"/>
      <c r="G160" s="15"/>
    </row>
    <row r="161" spans="1:7" ht="30.75" customHeight="1" x14ac:dyDescent="0.15">
      <c r="A161" s="16" t="s">
        <v>172</v>
      </c>
      <c r="B161" s="32"/>
      <c r="C161" s="33"/>
      <c r="D161" s="32"/>
      <c r="E161" s="32"/>
      <c r="F161" s="33"/>
      <c r="G161" s="34"/>
    </row>
    <row r="162" spans="1:7" ht="30.75" customHeight="1" x14ac:dyDescent="0.15">
      <c r="A162" s="21" t="s">
        <v>173</v>
      </c>
      <c r="B162" s="22"/>
      <c r="C162" s="27"/>
      <c r="D162" s="24"/>
      <c r="E162" s="24"/>
      <c r="F162" s="28"/>
      <c r="G162" s="29"/>
    </row>
    <row r="163" spans="1:7" ht="30.75" customHeight="1" x14ac:dyDescent="0.15">
      <c r="A163" s="21" t="s">
        <v>174</v>
      </c>
      <c r="B163" s="22"/>
      <c r="C163" s="27"/>
      <c r="D163" s="24"/>
      <c r="E163" s="24"/>
      <c r="F163" s="28"/>
      <c r="G163" s="29"/>
    </row>
    <row r="164" spans="1:7" ht="30.75" customHeight="1" x14ac:dyDescent="0.15">
      <c r="A164" s="21" t="s">
        <v>175</v>
      </c>
      <c r="B164" s="22"/>
      <c r="C164" s="27"/>
      <c r="D164" s="24"/>
      <c r="E164" s="24"/>
      <c r="F164" s="28"/>
      <c r="G164" s="29"/>
    </row>
    <row r="165" spans="1:7" ht="30.75" customHeight="1" x14ac:dyDescent="0.15">
      <c r="A165" s="21" t="s">
        <v>176</v>
      </c>
      <c r="B165" s="22"/>
      <c r="C165" s="27"/>
      <c r="D165" s="24"/>
      <c r="E165" s="24"/>
      <c r="F165" s="28"/>
      <c r="G165" s="29"/>
    </row>
    <row r="166" spans="1:7" ht="30.75" customHeight="1" x14ac:dyDescent="0.15">
      <c r="A166" s="21" t="s">
        <v>177</v>
      </c>
      <c r="B166" s="22"/>
      <c r="C166" s="27"/>
      <c r="D166" s="24"/>
      <c r="E166" s="24"/>
      <c r="F166" s="28"/>
      <c r="G166" s="29"/>
    </row>
    <row r="167" spans="1:7" ht="30.75" customHeight="1" x14ac:dyDescent="0.15">
      <c r="A167" s="21" t="s">
        <v>178</v>
      </c>
      <c r="B167" s="22"/>
      <c r="C167" s="27"/>
      <c r="D167" s="24"/>
      <c r="E167" s="24"/>
      <c r="F167" s="28"/>
      <c r="G167" s="29"/>
    </row>
    <row r="168" spans="1:7" ht="30.75" customHeight="1" x14ac:dyDescent="0.15">
      <c r="A168" s="21" t="s">
        <v>179</v>
      </c>
      <c r="B168" s="22"/>
      <c r="C168" s="27"/>
      <c r="D168" s="24"/>
      <c r="E168" s="24"/>
      <c r="F168" s="28"/>
      <c r="G168" s="29"/>
    </row>
    <row r="169" spans="1:7" ht="30.75" customHeight="1" x14ac:dyDescent="0.15">
      <c r="A169" s="21" t="s">
        <v>180</v>
      </c>
      <c r="B169" s="22"/>
      <c r="C169" s="27"/>
      <c r="D169" s="24"/>
      <c r="E169" s="24"/>
      <c r="F169" s="28"/>
      <c r="G169" s="29"/>
    </row>
    <row r="170" spans="1:7" ht="30.75" customHeight="1" x14ac:dyDescent="0.15">
      <c r="A170" s="21" t="s">
        <v>181</v>
      </c>
      <c r="B170" s="22"/>
      <c r="C170" s="27"/>
      <c r="D170" s="24"/>
      <c r="E170" s="24"/>
      <c r="F170" s="28"/>
      <c r="G170" s="29"/>
    </row>
    <row r="171" spans="1:7" ht="30.75" customHeight="1" x14ac:dyDescent="0.15">
      <c r="A171" s="21" t="s">
        <v>182</v>
      </c>
      <c r="B171" s="22"/>
      <c r="C171" s="27"/>
      <c r="D171" s="24"/>
      <c r="E171" s="24"/>
      <c r="F171" s="28"/>
      <c r="G171" s="29"/>
    </row>
    <row r="172" spans="1:7" ht="30.75" customHeight="1" x14ac:dyDescent="0.15">
      <c r="A172" s="16" t="s">
        <v>183</v>
      </c>
      <c r="B172" s="19"/>
      <c r="C172" s="17"/>
      <c r="D172" s="19"/>
      <c r="E172" s="19"/>
      <c r="F172" s="17"/>
      <c r="G172" s="30"/>
    </row>
    <row r="173" spans="1:7" ht="30.75" customHeight="1" x14ac:dyDescent="0.15">
      <c r="A173" s="21" t="s">
        <v>184</v>
      </c>
      <c r="B173" s="22"/>
      <c r="C173" s="27"/>
      <c r="D173" s="24"/>
      <c r="E173" s="24"/>
      <c r="F173" s="28"/>
      <c r="G173" s="29"/>
    </row>
    <row r="174" spans="1:7" ht="30.75" customHeight="1" x14ac:dyDescent="0.15">
      <c r="A174" s="21" t="s">
        <v>185</v>
      </c>
      <c r="B174" s="22"/>
      <c r="C174" s="27"/>
      <c r="D174" s="24"/>
      <c r="E174" s="24"/>
      <c r="F174" s="28"/>
      <c r="G174" s="29"/>
    </row>
    <row r="175" spans="1:7" ht="30.75" customHeight="1" x14ac:dyDescent="0.15">
      <c r="A175" s="21" t="s">
        <v>186</v>
      </c>
      <c r="B175" s="22"/>
      <c r="C175" s="27"/>
      <c r="D175" s="24"/>
      <c r="E175" s="24"/>
      <c r="F175" s="28"/>
      <c r="G175" s="29"/>
    </row>
    <row r="176" spans="1:7" ht="30.75" customHeight="1" x14ac:dyDescent="0.15">
      <c r="A176" s="21" t="s">
        <v>187</v>
      </c>
      <c r="B176" s="22"/>
      <c r="C176" s="27"/>
      <c r="D176" s="24"/>
      <c r="E176" s="24"/>
      <c r="F176" s="28"/>
      <c r="G176" s="29"/>
    </row>
    <row r="177" spans="1:7" ht="30.75" customHeight="1" x14ac:dyDescent="0.15">
      <c r="A177" s="21" t="s">
        <v>188</v>
      </c>
      <c r="B177" s="22"/>
      <c r="C177" s="27"/>
      <c r="D177" s="24"/>
      <c r="E177" s="24"/>
      <c r="F177" s="28"/>
      <c r="G177" s="29"/>
    </row>
    <row r="178" spans="1:7" ht="30.75" customHeight="1" x14ac:dyDescent="0.15">
      <c r="A178" s="21" t="s">
        <v>189</v>
      </c>
      <c r="B178" s="22"/>
      <c r="C178" s="27"/>
      <c r="D178" s="24"/>
      <c r="E178" s="24"/>
      <c r="F178" s="28"/>
      <c r="G178" s="29"/>
    </row>
    <row r="179" spans="1:7" ht="30.75" customHeight="1" x14ac:dyDescent="0.15">
      <c r="A179" s="21" t="s">
        <v>190</v>
      </c>
      <c r="B179" s="22"/>
      <c r="C179" s="27"/>
      <c r="D179" s="24"/>
      <c r="E179" s="24"/>
      <c r="F179" s="28"/>
      <c r="G179" s="29"/>
    </row>
    <row r="180" spans="1:7" ht="30.75" customHeight="1" x14ac:dyDescent="0.15">
      <c r="A180" s="21" t="s">
        <v>191</v>
      </c>
      <c r="B180" s="22"/>
      <c r="C180" s="27"/>
      <c r="D180" s="24"/>
      <c r="E180" s="24"/>
      <c r="F180" s="28"/>
      <c r="G180" s="29"/>
    </row>
    <row r="181" spans="1:7" ht="30.75" customHeight="1" x14ac:dyDescent="0.15">
      <c r="A181" s="21" t="s">
        <v>192</v>
      </c>
      <c r="B181" s="22"/>
      <c r="C181" s="27"/>
      <c r="D181" s="24"/>
      <c r="E181" s="24"/>
      <c r="F181" s="28"/>
      <c r="G181" s="29"/>
    </row>
    <row r="182" spans="1:7" ht="30.75" customHeight="1" x14ac:dyDescent="0.15">
      <c r="A182" s="21" t="s">
        <v>193</v>
      </c>
      <c r="B182" s="22"/>
      <c r="C182" s="27"/>
      <c r="D182" s="24"/>
      <c r="E182" s="24"/>
      <c r="F182" s="28"/>
      <c r="G182" s="29"/>
    </row>
    <row r="183" spans="1:7" ht="30.75" customHeight="1" x14ac:dyDescent="0.15">
      <c r="A183" s="13" t="s">
        <v>194</v>
      </c>
      <c r="B183" s="31"/>
      <c r="C183" s="14"/>
      <c r="D183" s="31"/>
      <c r="E183" s="31"/>
      <c r="F183" s="14"/>
      <c r="G183" s="15"/>
    </row>
    <row r="184" spans="1:7" ht="30.75" customHeight="1" x14ac:dyDescent="0.15">
      <c r="A184" s="16" t="s">
        <v>195</v>
      </c>
      <c r="B184" s="32"/>
      <c r="C184" s="33"/>
      <c r="D184" s="32"/>
      <c r="E184" s="32"/>
      <c r="F184" s="33"/>
      <c r="G184" s="34"/>
    </row>
    <row r="185" spans="1:7" ht="30.75" customHeight="1" x14ac:dyDescent="0.15">
      <c r="A185" s="21" t="s">
        <v>196</v>
      </c>
      <c r="B185" s="22"/>
      <c r="C185" s="27"/>
      <c r="D185" s="24"/>
      <c r="E185" s="24"/>
      <c r="F185" s="28"/>
      <c r="G185" s="29"/>
    </row>
    <row r="186" spans="1:7" ht="30.75" customHeight="1" x14ac:dyDescent="0.15">
      <c r="A186" s="21" t="s">
        <v>197</v>
      </c>
      <c r="B186" s="22"/>
      <c r="C186" s="27"/>
      <c r="D186" s="24"/>
      <c r="E186" s="24"/>
      <c r="F186" s="28"/>
      <c r="G186" s="29"/>
    </row>
    <row r="187" spans="1:7" ht="30.75" customHeight="1" x14ac:dyDescent="0.15">
      <c r="A187" s="21" t="s">
        <v>198</v>
      </c>
      <c r="B187" s="22"/>
      <c r="C187" s="27"/>
      <c r="D187" s="24"/>
      <c r="E187" s="24"/>
      <c r="F187" s="28"/>
      <c r="G187" s="29"/>
    </row>
    <row r="188" spans="1:7" ht="30.75" customHeight="1" x14ac:dyDescent="0.15">
      <c r="A188" s="21" t="s">
        <v>199</v>
      </c>
      <c r="B188" s="22"/>
      <c r="C188" s="27"/>
      <c r="D188" s="24"/>
      <c r="E188" s="24"/>
      <c r="F188" s="28"/>
      <c r="G188" s="29"/>
    </row>
    <row r="189" spans="1:7" ht="30.75" customHeight="1" x14ac:dyDescent="0.15">
      <c r="A189" s="21" t="s">
        <v>200</v>
      </c>
      <c r="B189" s="22"/>
      <c r="C189" s="27"/>
      <c r="D189" s="24"/>
      <c r="E189" s="24"/>
      <c r="F189" s="28"/>
      <c r="G189" s="29"/>
    </row>
    <row r="190" spans="1:7" ht="30.75" customHeight="1" x14ac:dyDescent="0.15">
      <c r="A190" s="21" t="s">
        <v>201</v>
      </c>
      <c r="B190" s="22"/>
      <c r="C190" s="27"/>
      <c r="D190" s="24"/>
      <c r="E190" s="24"/>
      <c r="F190" s="28"/>
      <c r="G190" s="29"/>
    </row>
    <row r="191" spans="1:7" ht="30.75" customHeight="1" x14ac:dyDescent="0.15">
      <c r="A191" s="21" t="s">
        <v>202</v>
      </c>
      <c r="B191" s="22"/>
      <c r="C191" s="27"/>
      <c r="D191" s="24"/>
      <c r="E191" s="24"/>
      <c r="F191" s="28"/>
      <c r="G191" s="29"/>
    </row>
    <row r="192" spans="1:7" ht="30.75" customHeight="1" x14ac:dyDescent="0.15">
      <c r="A192" s="21" t="s">
        <v>203</v>
      </c>
      <c r="B192" s="22"/>
      <c r="C192" s="27"/>
      <c r="D192" s="24"/>
      <c r="E192" s="24"/>
      <c r="F192" s="28"/>
      <c r="G192" s="29"/>
    </row>
    <row r="193" spans="1:7" ht="30.75" customHeight="1" x14ac:dyDescent="0.15">
      <c r="A193" s="21" t="s">
        <v>204</v>
      </c>
      <c r="B193" s="22"/>
      <c r="C193" s="27"/>
      <c r="D193" s="24"/>
      <c r="E193" s="24"/>
      <c r="F193" s="28"/>
      <c r="G193" s="29"/>
    </row>
    <row r="194" spans="1:7" ht="30.75" customHeight="1" x14ac:dyDescent="0.15">
      <c r="A194" s="21" t="s">
        <v>205</v>
      </c>
      <c r="B194" s="22"/>
      <c r="C194" s="27"/>
      <c r="D194" s="24"/>
      <c r="E194" s="24"/>
      <c r="F194" s="28"/>
      <c r="G194" s="29"/>
    </row>
    <row r="195" spans="1:7" ht="30.75" customHeight="1" x14ac:dyDescent="0.15">
      <c r="A195" s="16" t="s">
        <v>206</v>
      </c>
      <c r="B195" s="32"/>
      <c r="C195" s="33"/>
      <c r="D195" s="32"/>
      <c r="E195" s="32"/>
      <c r="F195" s="33"/>
      <c r="G195" s="34"/>
    </row>
    <row r="196" spans="1:7" ht="30.75" customHeight="1" x14ac:dyDescent="0.15">
      <c r="A196" s="21" t="s">
        <v>207</v>
      </c>
      <c r="B196" s="22"/>
      <c r="C196" s="27"/>
      <c r="D196" s="24"/>
      <c r="E196" s="24"/>
      <c r="F196" s="28"/>
      <c r="G196" s="29"/>
    </row>
    <row r="197" spans="1:7" ht="30.75" customHeight="1" x14ac:dyDescent="0.15">
      <c r="A197" s="21" t="s">
        <v>208</v>
      </c>
      <c r="B197" s="22"/>
      <c r="C197" s="27"/>
      <c r="D197" s="24"/>
      <c r="E197" s="24"/>
      <c r="F197" s="28"/>
      <c r="G197" s="29"/>
    </row>
    <row r="198" spans="1:7" ht="30.75" customHeight="1" x14ac:dyDescent="0.15">
      <c r="A198" s="21" t="s">
        <v>209</v>
      </c>
      <c r="B198" s="22"/>
      <c r="C198" s="27"/>
      <c r="D198" s="24"/>
      <c r="E198" s="24"/>
      <c r="F198" s="28"/>
      <c r="G198" s="29"/>
    </row>
    <row r="199" spans="1:7" ht="30.75" customHeight="1" x14ac:dyDescent="0.15">
      <c r="A199" s="21" t="s">
        <v>210</v>
      </c>
      <c r="B199" s="22"/>
      <c r="C199" s="27"/>
      <c r="D199" s="24"/>
      <c r="E199" s="24"/>
      <c r="F199" s="28"/>
      <c r="G199" s="29"/>
    </row>
    <row r="200" spans="1:7" ht="30.75" customHeight="1" x14ac:dyDescent="0.15">
      <c r="A200" s="21" t="s">
        <v>211</v>
      </c>
      <c r="B200" s="22"/>
      <c r="C200" s="27"/>
      <c r="D200" s="24"/>
      <c r="E200" s="24"/>
      <c r="F200" s="28"/>
      <c r="G200" s="29"/>
    </row>
    <row r="201" spans="1:7" ht="30.75" customHeight="1" x14ac:dyDescent="0.15">
      <c r="A201" s="21" t="s">
        <v>212</v>
      </c>
      <c r="B201" s="22"/>
      <c r="C201" s="27"/>
      <c r="D201" s="24"/>
      <c r="E201" s="24"/>
      <c r="F201" s="28"/>
      <c r="G201" s="29"/>
    </row>
    <row r="202" spans="1:7" ht="30.75" customHeight="1" x14ac:dyDescent="0.15">
      <c r="A202" s="21" t="s">
        <v>213</v>
      </c>
      <c r="B202" s="22"/>
      <c r="C202" s="27"/>
      <c r="D202" s="24"/>
      <c r="E202" s="24"/>
      <c r="F202" s="28"/>
      <c r="G202" s="29"/>
    </row>
    <row r="203" spans="1:7" ht="30.75" customHeight="1" x14ac:dyDescent="0.15">
      <c r="A203" s="21" t="s">
        <v>214</v>
      </c>
      <c r="B203" s="22"/>
      <c r="C203" s="27"/>
      <c r="D203" s="24"/>
      <c r="E203" s="24"/>
      <c r="F203" s="28"/>
      <c r="G203" s="29"/>
    </row>
    <row r="204" spans="1:7" ht="30.75" customHeight="1" x14ac:dyDescent="0.15">
      <c r="A204" s="21" t="s">
        <v>215</v>
      </c>
      <c r="B204" s="22"/>
      <c r="C204" s="27"/>
      <c r="D204" s="24"/>
      <c r="E204" s="24"/>
      <c r="F204" s="28"/>
      <c r="G204" s="29"/>
    </row>
    <row r="205" spans="1:7" ht="30.75" customHeight="1" x14ac:dyDescent="0.15">
      <c r="A205" s="21" t="s">
        <v>216</v>
      </c>
      <c r="B205" s="22"/>
      <c r="C205" s="27"/>
      <c r="D205" s="24"/>
      <c r="E205" s="24"/>
      <c r="F205" s="28"/>
      <c r="G205" s="29"/>
    </row>
    <row r="206" spans="1:7" ht="30.75" customHeight="1" x14ac:dyDescent="0.15">
      <c r="A206" s="16" t="s">
        <v>217</v>
      </c>
      <c r="B206" s="32"/>
      <c r="C206" s="33"/>
      <c r="D206" s="32"/>
      <c r="E206" s="32"/>
      <c r="F206" s="33"/>
      <c r="G206" s="34"/>
    </row>
    <row r="207" spans="1:7" ht="30.75" customHeight="1" x14ac:dyDescent="0.15">
      <c r="A207" s="21" t="s">
        <v>218</v>
      </c>
      <c r="B207" s="22"/>
      <c r="C207" s="27"/>
      <c r="D207" s="24"/>
      <c r="E207" s="24"/>
      <c r="F207" s="28"/>
      <c r="G207" s="29"/>
    </row>
    <row r="208" spans="1:7" ht="30.75" customHeight="1" x14ac:dyDescent="0.15">
      <c r="A208" s="21" t="s">
        <v>219</v>
      </c>
      <c r="B208" s="22"/>
      <c r="C208" s="27"/>
      <c r="D208" s="24"/>
      <c r="E208" s="24"/>
      <c r="F208" s="28"/>
      <c r="G208" s="29"/>
    </row>
    <row r="209" spans="1:7" ht="30.75" customHeight="1" x14ac:dyDescent="0.15">
      <c r="A209" s="21" t="s">
        <v>220</v>
      </c>
      <c r="B209" s="22"/>
      <c r="C209" s="27"/>
      <c r="D209" s="24"/>
      <c r="E209" s="24"/>
      <c r="F209" s="28"/>
      <c r="G209" s="29"/>
    </row>
    <row r="210" spans="1:7" ht="30.75" customHeight="1" x14ac:dyDescent="0.15">
      <c r="A210" s="21" t="s">
        <v>221</v>
      </c>
      <c r="B210" s="22"/>
      <c r="C210" s="27"/>
      <c r="D210" s="24"/>
      <c r="E210" s="24"/>
      <c r="F210" s="28"/>
      <c r="G210" s="29"/>
    </row>
    <row r="211" spans="1:7" ht="30.75" customHeight="1" x14ac:dyDescent="0.15">
      <c r="A211" s="21" t="s">
        <v>222</v>
      </c>
      <c r="B211" s="22"/>
      <c r="C211" s="27"/>
      <c r="D211" s="24"/>
      <c r="E211" s="24"/>
      <c r="F211" s="28"/>
      <c r="G211" s="29"/>
    </row>
    <row r="212" spans="1:7" ht="30.75" customHeight="1" x14ac:dyDescent="0.15">
      <c r="A212" s="21" t="s">
        <v>223</v>
      </c>
      <c r="B212" s="22"/>
      <c r="C212" s="27"/>
      <c r="D212" s="24"/>
      <c r="E212" s="24"/>
      <c r="F212" s="28"/>
      <c r="G212" s="29"/>
    </row>
    <row r="213" spans="1:7" ht="30.75" customHeight="1" x14ac:dyDescent="0.15">
      <c r="A213" s="21" t="s">
        <v>224</v>
      </c>
      <c r="B213" s="22"/>
      <c r="C213" s="27"/>
      <c r="D213" s="24"/>
      <c r="E213" s="24"/>
      <c r="F213" s="28"/>
      <c r="G213" s="29"/>
    </row>
    <row r="214" spans="1:7" ht="30.75" customHeight="1" x14ac:dyDescent="0.15">
      <c r="A214" s="21" t="s">
        <v>225</v>
      </c>
      <c r="B214" s="22"/>
      <c r="C214" s="27"/>
      <c r="D214" s="24"/>
      <c r="E214" s="24"/>
      <c r="F214" s="28"/>
      <c r="G214" s="29"/>
    </row>
    <row r="215" spans="1:7" ht="30.75" customHeight="1" x14ac:dyDescent="0.15">
      <c r="A215" s="21" t="s">
        <v>226</v>
      </c>
      <c r="B215" s="22"/>
      <c r="C215" s="27"/>
      <c r="D215" s="24"/>
      <c r="E215" s="24"/>
      <c r="F215" s="28"/>
      <c r="G215" s="29"/>
    </row>
    <row r="216" spans="1:7" ht="30.75" customHeight="1" x14ac:dyDescent="0.15">
      <c r="A216" s="21" t="s">
        <v>227</v>
      </c>
      <c r="B216" s="22"/>
      <c r="C216" s="27"/>
      <c r="D216" s="24"/>
      <c r="E216" s="24"/>
      <c r="F216" s="28"/>
      <c r="G216" s="29"/>
    </row>
    <row r="217" spans="1:7" ht="30.75" customHeight="1" x14ac:dyDescent="0.15">
      <c r="A217" s="16" t="s">
        <v>228</v>
      </c>
      <c r="B217" s="32"/>
      <c r="C217" s="33"/>
      <c r="D217" s="32"/>
      <c r="E217" s="32"/>
      <c r="F217" s="33"/>
      <c r="G217" s="34"/>
    </row>
    <row r="218" spans="1:7" ht="30.75" customHeight="1" x14ac:dyDescent="0.15">
      <c r="A218" s="21" t="s">
        <v>229</v>
      </c>
      <c r="B218" s="22"/>
      <c r="C218" s="27"/>
      <c r="D218" s="24"/>
      <c r="E218" s="24"/>
      <c r="F218" s="28"/>
      <c r="G218" s="29"/>
    </row>
    <row r="219" spans="1:7" ht="30.75" customHeight="1" x14ac:dyDescent="0.15">
      <c r="A219" s="21" t="s">
        <v>230</v>
      </c>
      <c r="B219" s="22"/>
      <c r="C219" s="27"/>
      <c r="D219" s="24"/>
      <c r="E219" s="24"/>
      <c r="F219" s="28"/>
      <c r="G219" s="29"/>
    </row>
    <row r="220" spans="1:7" ht="30.75" customHeight="1" x14ac:dyDescent="0.15">
      <c r="A220" s="21" t="s">
        <v>231</v>
      </c>
      <c r="B220" s="22"/>
      <c r="C220" s="27"/>
      <c r="D220" s="24"/>
      <c r="E220" s="24"/>
      <c r="F220" s="28"/>
      <c r="G220" s="29"/>
    </row>
    <row r="221" spans="1:7" ht="30.75" customHeight="1" x14ac:dyDescent="0.15">
      <c r="A221" s="21" t="s">
        <v>232</v>
      </c>
      <c r="B221" s="22"/>
      <c r="C221" s="27"/>
      <c r="D221" s="24"/>
      <c r="E221" s="24"/>
      <c r="F221" s="28"/>
      <c r="G221" s="29"/>
    </row>
    <row r="222" spans="1:7" ht="30.75" customHeight="1" x14ac:dyDescent="0.15">
      <c r="A222" s="21" t="s">
        <v>233</v>
      </c>
      <c r="B222" s="22"/>
      <c r="C222" s="27"/>
      <c r="D222" s="24"/>
      <c r="E222" s="24"/>
      <c r="F222" s="28"/>
      <c r="G222" s="29"/>
    </row>
    <row r="223" spans="1:7" ht="30.75" customHeight="1" x14ac:dyDescent="0.15">
      <c r="A223" s="21" t="s">
        <v>234</v>
      </c>
      <c r="B223" s="22"/>
      <c r="C223" s="27"/>
      <c r="D223" s="24"/>
      <c r="E223" s="24"/>
      <c r="F223" s="28"/>
      <c r="G223" s="29"/>
    </row>
    <row r="224" spans="1:7" ht="30.75" customHeight="1" x14ac:dyDescent="0.15">
      <c r="A224" s="21" t="s">
        <v>235</v>
      </c>
      <c r="B224" s="22"/>
      <c r="C224" s="27"/>
      <c r="D224" s="24"/>
      <c r="E224" s="24"/>
      <c r="F224" s="28"/>
      <c r="G224" s="29"/>
    </row>
    <row r="225" spans="1:7" ht="30.75" customHeight="1" x14ac:dyDescent="0.15">
      <c r="A225" s="21" t="s">
        <v>236</v>
      </c>
      <c r="B225" s="22"/>
      <c r="C225" s="27"/>
      <c r="D225" s="24"/>
      <c r="E225" s="24"/>
      <c r="F225" s="28"/>
      <c r="G225" s="29"/>
    </row>
    <row r="226" spans="1:7" ht="30.75" customHeight="1" x14ac:dyDescent="0.15">
      <c r="A226" s="21" t="s">
        <v>237</v>
      </c>
      <c r="B226" s="22"/>
      <c r="C226" s="27"/>
      <c r="D226" s="24"/>
      <c r="E226" s="24"/>
      <c r="F226" s="28"/>
      <c r="G226" s="29"/>
    </row>
    <row r="227" spans="1:7" ht="30.75" customHeight="1" x14ac:dyDescent="0.15">
      <c r="A227" s="21" t="s">
        <v>238</v>
      </c>
      <c r="B227" s="22"/>
      <c r="C227" s="27"/>
      <c r="D227" s="24"/>
      <c r="E227" s="24"/>
      <c r="F227" s="28"/>
      <c r="G227" s="29"/>
    </row>
    <row r="228" spans="1:7" ht="30.75" customHeight="1" x14ac:dyDescent="0.15">
      <c r="A228" s="13" t="s">
        <v>239</v>
      </c>
      <c r="B228" s="31"/>
      <c r="C228" s="14"/>
      <c r="D228" s="31"/>
      <c r="E228" s="31"/>
      <c r="F228" s="14"/>
      <c r="G228" s="15"/>
    </row>
    <row r="229" spans="1:7" ht="30.75" customHeight="1" x14ac:dyDescent="0.15">
      <c r="A229" s="16" t="s">
        <v>240</v>
      </c>
      <c r="B229" s="32"/>
      <c r="C229" s="33"/>
      <c r="D229" s="32"/>
      <c r="E229" s="32"/>
      <c r="F229" s="33"/>
      <c r="G229" s="34"/>
    </row>
    <row r="230" spans="1:7" ht="30.75" customHeight="1" x14ac:dyDescent="0.15">
      <c r="A230" s="21" t="s">
        <v>241</v>
      </c>
      <c r="B230" s="22"/>
      <c r="C230" s="27"/>
      <c r="D230" s="24"/>
      <c r="E230" s="24"/>
      <c r="F230" s="28"/>
      <c r="G230" s="29"/>
    </row>
    <row r="231" spans="1:7" ht="30.75" customHeight="1" x14ac:dyDescent="0.15">
      <c r="A231" s="21" t="s">
        <v>242</v>
      </c>
      <c r="B231" s="22"/>
      <c r="C231" s="27"/>
      <c r="D231" s="24"/>
      <c r="E231" s="24"/>
      <c r="F231" s="28"/>
      <c r="G231" s="29"/>
    </row>
    <row r="232" spans="1:7" ht="30.75" customHeight="1" x14ac:dyDescent="0.15">
      <c r="A232" s="21" t="s">
        <v>243</v>
      </c>
      <c r="B232" s="22"/>
      <c r="C232" s="27"/>
      <c r="D232" s="24"/>
      <c r="E232" s="24"/>
      <c r="F232" s="28"/>
      <c r="G232" s="29"/>
    </row>
    <row r="233" spans="1:7" ht="30.75" customHeight="1" x14ac:dyDescent="0.15">
      <c r="A233" s="21" t="s">
        <v>244</v>
      </c>
      <c r="B233" s="22"/>
      <c r="C233" s="27"/>
      <c r="D233" s="24"/>
      <c r="E233" s="24"/>
      <c r="F233" s="28"/>
      <c r="G233" s="29"/>
    </row>
    <row r="234" spans="1:7" ht="30.75" customHeight="1" x14ac:dyDescent="0.15">
      <c r="A234" s="21" t="s">
        <v>245</v>
      </c>
      <c r="B234" s="22"/>
      <c r="C234" s="27"/>
      <c r="D234" s="24"/>
      <c r="E234" s="24"/>
      <c r="F234" s="28"/>
      <c r="G234" s="29"/>
    </row>
    <row r="235" spans="1:7" ht="30.75" customHeight="1" x14ac:dyDescent="0.15">
      <c r="A235" s="21" t="s">
        <v>246</v>
      </c>
      <c r="B235" s="22"/>
      <c r="C235" s="27"/>
      <c r="D235" s="24"/>
      <c r="E235" s="24"/>
      <c r="F235" s="28"/>
      <c r="G235" s="29"/>
    </row>
    <row r="236" spans="1:7" ht="30.75" customHeight="1" x14ac:dyDescent="0.15">
      <c r="A236" s="21" t="s">
        <v>247</v>
      </c>
      <c r="B236" s="22"/>
      <c r="C236" s="27"/>
      <c r="D236" s="24"/>
      <c r="E236" s="24"/>
      <c r="F236" s="28"/>
      <c r="G236" s="29"/>
    </row>
    <row r="237" spans="1:7" ht="30.75" customHeight="1" x14ac:dyDescent="0.15">
      <c r="A237" s="21" t="s">
        <v>248</v>
      </c>
      <c r="B237" s="22"/>
      <c r="C237" s="27"/>
      <c r="D237" s="24"/>
      <c r="E237" s="24"/>
      <c r="F237" s="28"/>
      <c r="G237" s="29"/>
    </row>
    <row r="238" spans="1:7" ht="30.75" customHeight="1" x14ac:dyDescent="0.15">
      <c r="A238" s="21" t="s">
        <v>249</v>
      </c>
      <c r="B238" s="22"/>
      <c r="C238" s="27"/>
      <c r="D238" s="24"/>
      <c r="E238" s="24"/>
      <c r="F238" s="28"/>
      <c r="G238" s="29"/>
    </row>
    <row r="239" spans="1:7" ht="30.75" customHeight="1" x14ac:dyDescent="0.15">
      <c r="A239" s="21" t="s">
        <v>250</v>
      </c>
      <c r="B239" s="22"/>
      <c r="C239" s="27"/>
      <c r="D239" s="24"/>
      <c r="E239" s="24"/>
      <c r="F239" s="28"/>
      <c r="G239" s="29"/>
    </row>
    <row r="240" spans="1:7" ht="30.75" customHeight="1" x14ac:dyDescent="0.15">
      <c r="A240" s="16" t="s">
        <v>251</v>
      </c>
      <c r="B240" s="32"/>
      <c r="C240" s="33"/>
      <c r="D240" s="32"/>
      <c r="E240" s="32"/>
      <c r="F240" s="33"/>
      <c r="G240" s="34"/>
    </row>
    <row r="241" spans="1:7" ht="30.75" customHeight="1" x14ac:dyDescent="0.15">
      <c r="A241" s="21" t="s">
        <v>252</v>
      </c>
      <c r="B241" s="22"/>
      <c r="C241" s="27"/>
      <c r="D241" s="24"/>
      <c r="E241" s="24"/>
      <c r="F241" s="28"/>
      <c r="G241" s="29"/>
    </row>
    <row r="242" spans="1:7" ht="30.75" customHeight="1" x14ac:dyDescent="0.15">
      <c r="A242" s="21" t="s">
        <v>253</v>
      </c>
      <c r="B242" s="22"/>
      <c r="C242" s="27"/>
      <c r="D242" s="24"/>
      <c r="E242" s="24"/>
      <c r="F242" s="28"/>
      <c r="G242" s="29"/>
    </row>
    <row r="243" spans="1:7" ht="30.75" customHeight="1" x14ac:dyDescent="0.15">
      <c r="A243" s="21" t="s">
        <v>254</v>
      </c>
      <c r="B243" s="22"/>
      <c r="C243" s="27"/>
      <c r="D243" s="24"/>
      <c r="E243" s="24"/>
      <c r="F243" s="28"/>
      <c r="G243" s="29"/>
    </row>
    <row r="244" spans="1:7" ht="30.75" customHeight="1" x14ac:dyDescent="0.15">
      <c r="A244" s="21" t="s">
        <v>255</v>
      </c>
      <c r="B244" s="22"/>
      <c r="C244" s="27"/>
      <c r="D244" s="24"/>
      <c r="E244" s="24"/>
      <c r="F244" s="28"/>
      <c r="G244" s="29"/>
    </row>
    <row r="245" spans="1:7" ht="30.75" customHeight="1" x14ac:dyDescent="0.15">
      <c r="A245" s="21" t="s">
        <v>256</v>
      </c>
      <c r="B245" s="22"/>
      <c r="C245" s="27"/>
      <c r="D245" s="24"/>
      <c r="E245" s="24"/>
      <c r="F245" s="28"/>
      <c r="G245" s="29"/>
    </row>
    <row r="246" spans="1:7" ht="30.75" customHeight="1" x14ac:dyDescent="0.15">
      <c r="A246" s="21" t="s">
        <v>257</v>
      </c>
      <c r="B246" s="22"/>
      <c r="C246" s="27"/>
      <c r="D246" s="24"/>
      <c r="E246" s="24"/>
      <c r="F246" s="28"/>
      <c r="G246" s="29"/>
    </row>
    <row r="247" spans="1:7" ht="30.75" customHeight="1" x14ac:dyDescent="0.15">
      <c r="A247" s="21" t="s">
        <v>258</v>
      </c>
      <c r="B247" s="22"/>
      <c r="C247" s="27"/>
      <c r="D247" s="24"/>
      <c r="E247" s="24"/>
      <c r="F247" s="28"/>
      <c r="G247" s="29"/>
    </row>
    <row r="248" spans="1:7" ht="30.75" customHeight="1" x14ac:dyDescent="0.15">
      <c r="A248" s="21" t="s">
        <v>259</v>
      </c>
      <c r="B248" s="22"/>
      <c r="C248" s="27"/>
      <c r="D248" s="24"/>
      <c r="E248" s="24"/>
      <c r="F248" s="28"/>
      <c r="G248" s="29"/>
    </row>
    <row r="249" spans="1:7" ht="30.75" customHeight="1" x14ac:dyDescent="0.15">
      <c r="A249" s="21" t="s">
        <v>260</v>
      </c>
      <c r="B249" s="22"/>
      <c r="C249" s="27"/>
      <c r="D249" s="24"/>
      <c r="E249" s="24"/>
      <c r="F249" s="28"/>
      <c r="G249" s="29"/>
    </row>
    <row r="250" spans="1:7" ht="30.75" customHeight="1" x14ac:dyDescent="0.15">
      <c r="A250" s="35" t="s">
        <v>261</v>
      </c>
      <c r="B250" s="36"/>
      <c r="C250" s="37"/>
      <c r="D250" s="38"/>
      <c r="E250" s="38"/>
      <c r="F250" s="39"/>
      <c r="G250" s="40"/>
    </row>
    <row r="251" spans="1:7" ht="30.75" customHeight="1" x14ac:dyDescent="0.15"/>
    <row r="252" spans="1:7" ht="30.75" customHeight="1" x14ac:dyDescent="0.15"/>
    <row r="253" spans="1:7" ht="30.75" customHeight="1" x14ac:dyDescent="0.15"/>
    <row r="254" spans="1:7" ht="30.75" customHeight="1" x14ac:dyDescent="0.15"/>
    <row r="255" spans="1:7" ht="30.75" customHeight="1" x14ac:dyDescent="0.15"/>
    <row r="256" spans="1:7" ht="30.75" customHeight="1" x14ac:dyDescent="0.15"/>
    <row r="257" ht="30.75" customHeight="1" x14ac:dyDescent="0.15"/>
    <row r="258" ht="30.75" customHeight="1" x14ac:dyDescent="0.15"/>
    <row r="259" ht="30.75" customHeight="1" x14ac:dyDescent="0.15"/>
    <row r="260" ht="30.75" customHeight="1" x14ac:dyDescent="0.15"/>
    <row r="261" ht="30.75" customHeight="1" x14ac:dyDescent="0.15"/>
    <row r="262" ht="30.75" customHeight="1" x14ac:dyDescent="0.15"/>
    <row r="263" ht="30.75" customHeight="1" x14ac:dyDescent="0.15"/>
    <row r="264" ht="30.75" customHeight="1" x14ac:dyDescent="0.15"/>
    <row r="265" ht="30.75" customHeight="1" x14ac:dyDescent="0.15"/>
    <row r="266" ht="30.75" customHeight="1" x14ac:dyDescent="0.15"/>
    <row r="267" ht="30.75" customHeight="1" x14ac:dyDescent="0.15"/>
    <row r="268" ht="30.75" customHeight="1" x14ac:dyDescent="0.15"/>
    <row r="269" ht="30.75" customHeight="1" x14ac:dyDescent="0.15"/>
    <row r="270" ht="30.75" customHeight="1" x14ac:dyDescent="0.15"/>
    <row r="271" ht="30.75" customHeight="1" x14ac:dyDescent="0.15"/>
    <row r="272" ht="30.75" customHeight="1" x14ac:dyDescent="0.15"/>
    <row r="273" ht="30.75" customHeight="1" x14ac:dyDescent="0.15"/>
    <row r="274" ht="30.75" customHeight="1" x14ac:dyDescent="0.15"/>
    <row r="275" ht="30.75" customHeight="1" x14ac:dyDescent="0.15"/>
    <row r="276" ht="30.75" customHeight="1" x14ac:dyDescent="0.15"/>
    <row r="277" ht="30.75" customHeight="1" x14ac:dyDescent="0.15"/>
    <row r="278" ht="30.75" customHeight="1" x14ac:dyDescent="0.15"/>
    <row r="279" ht="30.75" customHeight="1" x14ac:dyDescent="0.15"/>
    <row r="280" ht="30.75" customHeight="1" x14ac:dyDescent="0.15"/>
    <row r="281" ht="30.75" customHeight="1" x14ac:dyDescent="0.15"/>
    <row r="282" ht="30.75" customHeight="1" x14ac:dyDescent="0.15"/>
    <row r="283" ht="30.75" customHeight="1" x14ac:dyDescent="0.15"/>
    <row r="284" ht="30.75" customHeight="1" x14ac:dyDescent="0.15"/>
    <row r="285" ht="30.75" customHeight="1" x14ac:dyDescent="0.15"/>
    <row r="286" ht="30.75" customHeight="1" x14ac:dyDescent="0.15"/>
    <row r="287" ht="30.75" customHeight="1" x14ac:dyDescent="0.15"/>
    <row r="288" ht="30.75" customHeight="1" x14ac:dyDescent="0.15"/>
    <row r="289" ht="30.75" customHeight="1" x14ac:dyDescent="0.15"/>
    <row r="290" ht="30.75" customHeight="1" x14ac:dyDescent="0.15"/>
    <row r="291" ht="30.75" customHeight="1" x14ac:dyDescent="0.15"/>
    <row r="292" ht="30.75" customHeight="1" x14ac:dyDescent="0.15"/>
    <row r="293" ht="30.75" customHeight="1" x14ac:dyDescent="0.15"/>
    <row r="294" ht="30.75" customHeight="1" x14ac:dyDescent="0.15"/>
    <row r="295" ht="30.75" customHeight="1" x14ac:dyDescent="0.15"/>
    <row r="296" ht="30.75" customHeight="1" x14ac:dyDescent="0.15"/>
    <row r="297" ht="30.75" customHeight="1" x14ac:dyDescent="0.15"/>
    <row r="298" ht="30.75" customHeight="1" x14ac:dyDescent="0.15"/>
    <row r="299" ht="30.75" customHeight="1" x14ac:dyDescent="0.15"/>
    <row r="300" ht="30.75" customHeight="1" x14ac:dyDescent="0.15"/>
    <row r="301" ht="30.75" customHeight="1" x14ac:dyDescent="0.15"/>
    <row r="302" ht="30.75" customHeight="1" x14ac:dyDescent="0.15"/>
    <row r="303" ht="30.75" customHeight="1" x14ac:dyDescent="0.15"/>
    <row r="304" ht="30.75" customHeight="1" x14ac:dyDescent="0.15"/>
    <row r="305" ht="30.75" customHeight="1" x14ac:dyDescent="0.15"/>
    <row r="306" ht="30.75" customHeight="1" x14ac:dyDescent="0.15"/>
    <row r="307" ht="30.75" customHeight="1" x14ac:dyDescent="0.15"/>
    <row r="308" ht="30.75" customHeight="1" x14ac:dyDescent="0.15"/>
    <row r="309" ht="30.75" customHeight="1" x14ac:dyDescent="0.15"/>
    <row r="310" ht="30.75" customHeight="1" x14ac:dyDescent="0.15"/>
    <row r="311" ht="30.75" customHeight="1" x14ac:dyDescent="0.15"/>
    <row r="312" ht="30.75" customHeight="1" x14ac:dyDescent="0.15"/>
    <row r="313" ht="30.75" customHeight="1" x14ac:dyDescent="0.15"/>
    <row r="314" ht="30.75" customHeight="1" x14ac:dyDescent="0.15"/>
    <row r="315" ht="30.75" customHeight="1" x14ac:dyDescent="0.15"/>
    <row r="316" ht="30.75" customHeight="1" x14ac:dyDescent="0.15"/>
    <row r="317" ht="30.75" customHeight="1" x14ac:dyDescent="0.15"/>
    <row r="318" ht="30.75" customHeight="1" x14ac:dyDescent="0.15"/>
    <row r="319" ht="30.75" customHeight="1" x14ac:dyDescent="0.15"/>
    <row r="320" ht="30.75" customHeight="1" x14ac:dyDescent="0.15"/>
    <row r="321" ht="30.75" customHeight="1" x14ac:dyDescent="0.15"/>
    <row r="322" ht="30.75" customHeight="1" x14ac:dyDescent="0.15"/>
    <row r="323" ht="30.75" customHeight="1" x14ac:dyDescent="0.15"/>
    <row r="324" ht="30.75" customHeight="1" x14ac:dyDescent="0.15"/>
    <row r="325" ht="30.75" customHeight="1" x14ac:dyDescent="0.15"/>
    <row r="326" ht="30.75" customHeight="1" x14ac:dyDescent="0.15"/>
    <row r="327" ht="30.75" customHeight="1" x14ac:dyDescent="0.15"/>
    <row r="328" ht="30.75" customHeight="1" x14ac:dyDescent="0.15"/>
    <row r="329" ht="30.75" customHeight="1" x14ac:dyDescent="0.15"/>
    <row r="330" ht="30.75" customHeight="1" x14ac:dyDescent="0.15"/>
    <row r="331" ht="30.75" customHeight="1" x14ac:dyDescent="0.15"/>
    <row r="332" ht="30.75" customHeight="1" x14ac:dyDescent="0.15"/>
    <row r="333" ht="30.75" customHeight="1" x14ac:dyDescent="0.15"/>
    <row r="334" ht="30.75" customHeight="1" x14ac:dyDescent="0.15"/>
    <row r="335" ht="30.75" customHeight="1" x14ac:dyDescent="0.15"/>
    <row r="336" ht="30.75" customHeight="1" x14ac:dyDescent="0.15"/>
    <row r="337" ht="30.75" customHeight="1" x14ac:dyDescent="0.15"/>
    <row r="338" ht="30.75" customHeight="1" x14ac:dyDescent="0.15"/>
    <row r="339" ht="30.75" customHeight="1" x14ac:dyDescent="0.15"/>
    <row r="340" ht="30.75" customHeight="1" x14ac:dyDescent="0.15"/>
    <row r="341" ht="30.75" customHeight="1" x14ac:dyDescent="0.15"/>
    <row r="342" ht="30.75" customHeight="1" x14ac:dyDescent="0.15"/>
    <row r="343" ht="30.75" customHeight="1" x14ac:dyDescent="0.15"/>
    <row r="344" ht="30.75" customHeight="1" x14ac:dyDescent="0.15"/>
    <row r="345" ht="30.75" customHeight="1" x14ac:dyDescent="0.15"/>
    <row r="346" ht="30.75" customHeight="1" x14ac:dyDescent="0.15"/>
    <row r="347" ht="30.75" customHeight="1" x14ac:dyDescent="0.15"/>
    <row r="348" ht="30.75" customHeight="1" x14ac:dyDescent="0.15"/>
    <row r="349" ht="30.75" customHeight="1" x14ac:dyDescent="0.15"/>
    <row r="350" ht="30.75" customHeight="1" x14ac:dyDescent="0.15"/>
    <row r="351" ht="30.75" customHeight="1" x14ac:dyDescent="0.15"/>
    <row r="352" ht="30.75" customHeight="1" x14ac:dyDescent="0.15"/>
    <row r="353" ht="30.75" customHeight="1" x14ac:dyDescent="0.15"/>
    <row r="354" ht="30.75" customHeight="1" x14ac:dyDescent="0.15"/>
    <row r="355" ht="30.75" customHeight="1" x14ac:dyDescent="0.15"/>
    <row r="356" ht="30.75" customHeight="1" x14ac:dyDescent="0.15"/>
    <row r="357" ht="30.75" customHeight="1" x14ac:dyDescent="0.15"/>
    <row r="358" ht="30.75" customHeight="1" x14ac:dyDescent="0.15"/>
    <row r="359" ht="30.75" customHeight="1" x14ac:dyDescent="0.15"/>
    <row r="360" ht="30.75" customHeight="1" x14ac:dyDescent="0.15"/>
    <row r="361" ht="30.75" customHeight="1" x14ac:dyDescent="0.15"/>
    <row r="362" ht="30.75" customHeight="1" x14ac:dyDescent="0.15"/>
    <row r="363" ht="30.75" customHeight="1" x14ac:dyDescent="0.15"/>
    <row r="364" ht="30.75" customHeight="1" x14ac:dyDescent="0.15"/>
    <row r="365" ht="30.75" customHeight="1" x14ac:dyDescent="0.15"/>
    <row r="366" ht="30.75" customHeight="1" x14ac:dyDescent="0.15"/>
    <row r="367" ht="30.75" customHeight="1" x14ac:dyDescent="0.15"/>
    <row r="368" ht="30.75" customHeight="1" x14ac:dyDescent="0.15"/>
    <row r="369" ht="30.75" customHeight="1" x14ac:dyDescent="0.15"/>
    <row r="370" ht="30.75" customHeight="1" x14ac:dyDescent="0.15"/>
    <row r="371" ht="30.75" customHeight="1" x14ac:dyDescent="0.15"/>
    <row r="372" ht="30.75" customHeight="1" x14ac:dyDescent="0.15"/>
    <row r="373" ht="30.75" customHeight="1" x14ac:dyDescent="0.15"/>
    <row r="374" ht="30.75" customHeight="1" x14ac:dyDescent="0.15"/>
    <row r="375" ht="30.75" customHeight="1" x14ac:dyDescent="0.15"/>
    <row r="376" ht="30.75" customHeight="1" x14ac:dyDescent="0.15"/>
    <row r="377" ht="30.75" customHeight="1" x14ac:dyDescent="0.15"/>
    <row r="378" ht="30.75" customHeight="1" x14ac:dyDescent="0.15"/>
    <row r="379" ht="30.75" customHeight="1" x14ac:dyDescent="0.15"/>
    <row r="380" ht="30.75" customHeight="1" x14ac:dyDescent="0.15"/>
    <row r="381" ht="30.75" customHeight="1" x14ac:dyDescent="0.15"/>
    <row r="382" ht="30.75" customHeight="1" x14ac:dyDescent="0.15"/>
    <row r="383" ht="30.75" customHeight="1" x14ac:dyDescent="0.15"/>
    <row r="384" ht="30.75" customHeight="1" x14ac:dyDescent="0.15"/>
    <row r="385" ht="30.75" customHeight="1" x14ac:dyDescent="0.15"/>
    <row r="386" ht="30.75" customHeight="1" x14ac:dyDescent="0.15"/>
    <row r="387" ht="30.75" customHeight="1" x14ac:dyDescent="0.15"/>
    <row r="388" ht="30.75" customHeight="1" x14ac:dyDescent="0.15"/>
    <row r="389" ht="30.75" customHeight="1" x14ac:dyDescent="0.15"/>
    <row r="390" ht="30.75" customHeight="1" x14ac:dyDescent="0.15"/>
    <row r="391" ht="30.75" customHeight="1" x14ac:dyDescent="0.15"/>
    <row r="392" ht="30.75" customHeight="1" x14ac:dyDescent="0.15"/>
    <row r="393" ht="30.75" customHeight="1" x14ac:dyDescent="0.15"/>
    <row r="394" ht="30.75" customHeight="1" x14ac:dyDescent="0.15"/>
    <row r="395" ht="30.75" customHeight="1" x14ac:dyDescent="0.15"/>
    <row r="396" ht="30.75" customHeight="1" x14ac:dyDescent="0.15"/>
    <row r="397" ht="30.75" customHeight="1" x14ac:dyDescent="0.15"/>
    <row r="398" ht="30.75" customHeight="1" x14ac:dyDescent="0.15"/>
    <row r="399" ht="30.75" customHeight="1" x14ac:dyDescent="0.15"/>
    <row r="400" ht="30.75" customHeight="1" x14ac:dyDescent="0.15"/>
    <row r="401" ht="30.75" customHeight="1" x14ac:dyDescent="0.15"/>
    <row r="402" ht="30.75" customHeight="1" x14ac:dyDescent="0.15"/>
    <row r="403" ht="30.75" customHeight="1" x14ac:dyDescent="0.15"/>
    <row r="404" ht="30.75" customHeight="1" x14ac:dyDescent="0.15"/>
    <row r="405" ht="30.75" customHeight="1" x14ac:dyDescent="0.15"/>
    <row r="406" ht="30.75" customHeight="1" x14ac:dyDescent="0.15"/>
    <row r="407" ht="30.75" customHeight="1" x14ac:dyDescent="0.15"/>
    <row r="408" ht="30.75" customHeight="1" x14ac:dyDescent="0.15"/>
    <row r="409" ht="30.75" customHeight="1" x14ac:dyDescent="0.15"/>
    <row r="410" ht="30.75" customHeight="1" x14ac:dyDescent="0.15"/>
    <row r="411" ht="30.75" customHeight="1" x14ac:dyDescent="0.15"/>
    <row r="412" ht="30.75" customHeight="1" x14ac:dyDescent="0.15"/>
    <row r="413" ht="30.75" customHeight="1" x14ac:dyDescent="0.15"/>
    <row r="414" ht="30.75" customHeight="1" x14ac:dyDescent="0.15"/>
    <row r="415" ht="30.75" customHeight="1" x14ac:dyDescent="0.15"/>
    <row r="416" ht="30.75" customHeight="1" x14ac:dyDescent="0.15"/>
    <row r="417" ht="30.75" customHeight="1" x14ac:dyDescent="0.15"/>
    <row r="418" ht="30.75" customHeight="1" x14ac:dyDescent="0.15"/>
    <row r="419" ht="30.75" customHeight="1" x14ac:dyDescent="0.15"/>
    <row r="420" ht="30.75" customHeight="1" x14ac:dyDescent="0.15"/>
    <row r="421" ht="30.75" customHeight="1" x14ac:dyDescent="0.15"/>
    <row r="422" ht="30.75" customHeight="1" x14ac:dyDescent="0.15"/>
    <row r="423" ht="30.75" customHeight="1" x14ac:dyDescent="0.15"/>
    <row r="424" ht="30.75" customHeight="1" x14ac:dyDescent="0.15"/>
    <row r="425" ht="30.75" customHeight="1" x14ac:dyDescent="0.15"/>
    <row r="426" ht="30.75" customHeight="1" x14ac:dyDescent="0.15"/>
    <row r="427" ht="30.75" customHeight="1" x14ac:dyDescent="0.15"/>
    <row r="428" ht="30.75" customHeight="1" x14ac:dyDescent="0.15"/>
    <row r="429" ht="30.75" customHeight="1" x14ac:dyDescent="0.15"/>
    <row r="430" ht="30.75" customHeight="1" x14ac:dyDescent="0.15"/>
    <row r="431" ht="30.75" customHeight="1" x14ac:dyDescent="0.15"/>
    <row r="432" ht="30.75" customHeight="1" x14ac:dyDescent="0.15"/>
    <row r="433" ht="30.75" customHeight="1" x14ac:dyDescent="0.15"/>
    <row r="434" ht="30.75" customHeight="1" x14ac:dyDescent="0.15"/>
    <row r="435" ht="30.75" customHeight="1" x14ac:dyDescent="0.15"/>
    <row r="436" ht="30.75" customHeight="1" x14ac:dyDescent="0.15"/>
    <row r="437" ht="30.75" customHeight="1" x14ac:dyDescent="0.15"/>
    <row r="438" ht="30.75" customHeight="1" x14ac:dyDescent="0.15"/>
    <row r="439" ht="30.75" customHeight="1" x14ac:dyDescent="0.15"/>
    <row r="440" ht="30.75" customHeight="1" x14ac:dyDescent="0.15"/>
    <row r="441" ht="30.75" customHeight="1" x14ac:dyDescent="0.15"/>
    <row r="442" ht="30.75" customHeight="1" x14ac:dyDescent="0.15"/>
    <row r="443" ht="30.75" customHeight="1" x14ac:dyDescent="0.15"/>
    <row r="444" ht="30.75" customHeight="1" x14ac:dyDescent="0.15"/>
    <row r="445" ht="30.75" customHeight="1" x14ac:dyDescent="0.15"/>
    <row r="446" ht="30.75" customHeight="1" x14ac:dyDescent="0.15"/>
    <row r="447" ht="30.75" customHeight="1" x14ac:dyDescent="0.15"/>
    <row r="448" ht="30.75" customHeight="1" x14ac:dyDescent="0.15"/>
    <row r="449" ht="30.75" customHeight="1" x14ac:dyDescent="0.15"/>
    <row r="450" ht="30.75" customHeight="1" x14ac:dyDescent="0.15"/>
    <row r="451" ht="30.75" customHeight="1" x14ac:dyDescent="0.15"/>
    <row r="452" ht="30.75" customHeight="1" x14ac:dyDescent="0.15"/>
    <row r="453" ht="30.75" customHeight="1" x14ac:dyDescent="0.15"/>
    <row r="454" ht="30.75" customHeight="1" x14ac:dyDescent="0.15"/>
    <row r="455" ht="30.75" customHeight="1" x14ac:dyDescent="0.15"/>
    <row r="456" ht="30.75" customHeight="1" x14ac:dyDescent="0.15"/>
    <row r="457" ht="30.75" customHeight="1" x14ac:dyDescent="0.15"/>
    <row r="458" ht="30.75" customHeight="1" x14ac:dyDescent="0.15"/>
    <row r="459" ht="30.75" customHeight="1" x14ac:dyDescent="0.15"/>
    <row r="460" ht="30.75" customHeight="1" x14ac:dyDescent="0.15"/>
    <row r="461" ht="30.75" customHeight="1" x14ac:dyDescent="0.15"/>
    <row r="462" ht="30.75" customHeight="1" x14ac:dyDescent="0.15"/>
    <row r="463" ht="30.75" customHeight="1" x14ac:dyDescent="0.15"/>
    <row r="464" ht="30.75" customHeight="1" x14ac:dyDescent="0.15"/>
    <row r="465" ht="30.75" customHeight="1" x14ac:dyDescent="0.15"/>
    <row r="466" ht="30.75" customHeight="1" x14ac:dyDescent="0.15"/>
    <row r="467" ht="30.75" customHeight="1" x14ac:dyDescent="0.15"/>
    <row r="468" ht="30.75" customHeight="1" x14ac:dyDescent="0.15"/>
    <row r="469" ht="30.75" customHeight="1" x14ac:dyDescent="0.15"/>
    <row r="470" ht="30.75" customHeight="1" x14ac:dyDescent="0.15"/>
    <row r="471" ht="30.75" customHeight="1" x14ac:dyDescent="0.15"/>
    <row r="472" ht="30.75" customHeight="1" x14ac:dyDescent="0.15"/>
    <row r="473" ht="30.75" customHeight="1" x14ac:dyDescent="0.15"/>
    <row r="474" ht="30.75" customHeight="1" x14ac:dyDescent="0.15"/>
    <row r="475" ht="30.75" customHeight="1" x14ac:dyDescent="0.15"/>
    <row r="476" ht="30.75" customHeight="1" x14ac:dyDescent="0.15"/>
    <row r="477" ht="30.75" customHeight="1" x14ac:dyDescent="0.15"/>
    <row r="478" ht="30.75" customHeight="1" x14ac:dyDescent="0.15"/>
    <row r="479" ht="30.75" customHeight="1" x14ac:dyDescent="0.15"/>
    <row r="480" ht="30.75" customHeight="1" x14ac:dyDescent="0.15"/>
    <row r="481" ht="30.75" customHeight="1" x14ac:dyDescent="0.15"/>
    <row r="482" ht="30.75" customHeight="1" x14ac:dyDescent="0.15"/>
    <row r="483" ht="30.75" customHeight="1" x14ac:dyDescent="0.15"/>
    <row r="484" ht="30.75" customHeight="1" x14ac:dyDescent="0.15"/>
    <row r="485" ht="30.75" customHeight="1" x14ac:dyDescent="0.15"/>
    <row r="486" ht="30.75" customHeight="1" x14ac:dyDescent="0.15"/>
    <row r="487" ht="30.75" customHeight="1" x14ac:dyDescent="0.15"/>
    <row r="488" ht="30.75" customHeight="1" x14ac:dyDescent="0.15"/>
    <row r="489" ht="30.75" customHeight="1" x14ac:dyDescent="0.15"/>
    <row r="490" ht="30.75" customHeight="1" x14ac:dyDescent="0.15"/>
    <row r="491" ht="30.75" customHeight="1" x14ac:dyDescent="0.15"/>
    <row r="492" ht="30.75" customHeight="1" x14ac:dyDescent="0.15"/>
    <row r="493" ht="30.75" customHeight="1" x14ac:dyDescent="0.15"/>
    <row r="494" ht="30.75" customHeight="1" x14ac:dyDescent="0.15"/>
    <row r="495" ht="30.75" customHeight="1" x14ac:dyDescent="0.15"/>
    <row r="496" ht="30.75" customHeight="1" x14ac:dyDescent="0.15"/>
    <row r="497" ht="30.75" customHeight="1" x14ac:dyDescent="0.15"/>
    <row r="498" ht="30.75" customHeight="1" x14ac:dyDescent="0.15"/>
    <row r="499" ht="30.75" customHeight="1" x14ac:dyDescent="0.15"/>
    <row r="500" ht="30.75" customHeight="1" x14ac:dyDescent="0.15"/>
    <row r="501" ht="30.75" customHeight="1" x14ac:dyDescent="0.15"/>
    <row r="502" ht="30.75" customHeight="1" x14ac:dyDescent="0.15"/>
    <row r="503" ht="30.75" customHeight="1" x14ac:dyDescent="0.15"/>
    <row r="504" ht="30.75" customHeight="1" x14ac:dyDescent="0.15"/>
    <row r="505" ht="30.75" customHeight="1" x14ac:dyDescent="0.15"/>
    <row r="506" ht="30.75" customHeight="1" x14ac:dyDescent="0.15"/>
    <row r="507" ht="30.75" customHeight="1" x14ac:dyDescent="0.15"/>
    <row r="508" ht="30.75" customHeight="1" x14ac:dyDescent="0.15"/>
    <row r="509" ht="30.75" customHeight="1" x14ac:dyDescent="0.15"/>
    <row r="510" ht="30.75" customHeight="1" x14ac:dyDescent="0.15"/>
    <row r="511" ht="30.75" customHeight="1" x14ac:dyDescent="0.15"/>
    <row r="512" ht="30.75" customHeight="1" x14ac:dyDescent="0.15"/>
    <row r="513" ht="30.75" customHeight="1" x14ac:dyDescent="0.15"/>
    <row r="514" ht="30.75" customHeight="1" x14ac:dyDescent="0.15"/>
    <row r="515" ht="30.75" customHeight="1" x14ac:dyDescent="0.15"/>
    <row r="516" ht="30.75" customHeight="1" x14ac:dyDescent="0.15"/>
    <row r="517" ht="30.75" customHeight="1" x14ac:dyDescent="0.15"/>
    <row r="518" ht="30.75" customHeight="1" x14ac:dyDescent="0.15"/>
    <row r="519" ht="30.75" customHeight="1" x14ac:dyDescent="0.15"/>
    <row r="520" ht="30.75" customHeight="1" x14ac:dyDescent="0.15"/>
    <row r="521" ht="30.75" customHeight="1" x14ac:dyDescent="0.15"/>
    <row r="522" ht="30.75" customHeight="1" x14ac:dyDescent="0.15"/>
    <row r="523" ht="30.75" customHeight="1" x14ac:dyDescent="0.15"/>
    <row r="524" ht="30.75" customHeight="1" x14ac:dyDescent="0.15"/>
    <row r="525" ht="30.75" customHeight="1" x14ac:dyDescent="0.15"/>
    <row r="526" ht="30.75" customHeight="1" x14ac:dyDescent="0.15"/>
    <row r="527" ht="30.75" customHeight="1" x14ac:dyDescent="0.15"/>
    <row r="528" ht="30.75" customHeight="1" x14ac:dyDescent="0.15"/>
    <row r="529" ht="30.75" customHeight="1" x14ac:dyDescent="0.15"/>
    <row r="530" ht="30.75" customHeight="1" x14ac:dyDescent="0.15"/>
    <row r="531" ht="30.75" customHeight="1" x14ac:dyDescent="0.15"/>
    <row r="532" ht="30.75" customHeight="1" x14ac:dyDescent="0.15"/>
    <row r="533" ht="30.75" customHeight="1" x14ac:dyDescent="0.15"/>
    <row r="534" ht="30.75" customHeight="1" x14ac:dyDescent="0.15"/>
    <row r="535" ht="30.75" customHeight="1" x14ac:dyDescent="0.15"/>
    <row r="536" ht="30.75" customHeight="1" x14ac:dyDescent="0.15"/>
    <row r="537" ht="30.75" customHeight="1" x14ac:dyDescent="0.15"/>
    <row r="538" ht="30.75" customHeight="1" x14ac:dyDescent="0.15"/>
    <row r="539" ht="30.75" customHeight="1" x14ac:dyDescent="0.15"/>
    <row r="540" ht="30.75" customHeight="1" x14ac:dyDescent="0.15"/>
    <row r="541" ht="30.75" customHeight="1" x14ac:dyDescent="0.15"/>
    <row r="542" ht="30.75" customHeight="1" x14ac:dyDescent="0.15"/>
    <row r="543" ht="30.75" customHeight="1" x14ac:dyDescent="0.15"/>
    <row r="544" ht="30.75" customHeight="1" x14ac:dyDescent="0.15"/>
    <row r="545" ht="30.75" customHeight="1" x14ac:dyDescent="0.15"/>
    <row r="546" ht="30.75" customHeight="1" x14ac:dyDescent="0.15"/>
    <row r="547" ht="30.75" customHeight="1" x14ac:dyDescent="0.15"/>
    <row r="548" ht="30.75" customHeight="1" x14ac:dyDescent="0.15"/>
    <row r="549" ht="30.75" customHeight="1" x14ac:dyDescent="0.15"/>
    <row r="550" ht="30.75" customHeight="1" x14ac:dyDescent="0.15"/>
    <row r="551" ht="30.75" customHeight="1" x14ac:dyDescent="0.15"/>
    <row r="552" ht="30.75" customHeight="1" x14ac:dyDescent="0.15"/>
    <row r="553" ht="30.75" customHeight="1" x14ac:dyDescent="0.15"/>
    <row r="554" ht="30.75" customHeight="1" x14ac:dyDescent="0.15"/>
    <row r="555" ht="30.75" customHeight="1" x14ac:dyDescent="0.15"/>
    <row r="556" ht="30.75" customHeight="1" x14ac:dyDescent="0.15"/>
    <row r="557" ht="30.75" customHeight="1" x14ac:dyDescent="0.15"/>
    <row r="558" ht="30.75" customHeight="1" x14ac:dyDescent="0.15"/>
    <row r="559" ht="30.75" customHeight="1" x14ac:dyDescent="0.15"/>
    <row r="560" ht="30.75" customHeight="1" x14ac:dyDescent="0.15"/>
    <row r="561" ht="30.75" customHeight="1" x14ac:dyDescent="0.15"/>
    <row r="562" ht="30.75" customHeight="1" x14ac:dyDescent="0.15"/>
    <row r="563" ht="30.75" customHeight="1" x14ac:dyDescent="0.15"/>
    <row r="564" ht="30.75" customHeight="1" x14ac:dyDescent="0.15"/>
    <row r="565" ht="30.75" customHeight="1" x14ac:dyDescent="0.15"/>
    <row r="566" ht="30.75" customHeight="1" x14ac:dyDescent="0.15"/>
    <row r="567" ht="30.75" customHeight="1" x14ac:dyDescent="0.15"/>
    <row r="568" ht="30.75" customHeight="1" x14ac:dyDescent="0.15"/>
    <row r="569" ht="30.75" customHeight="1" x14ac:dyDescent="0.15"/>
    <row r="570" ht="30.75" customHeight="1" x14ac:dyDescent="0.15"/>
    <row r="571" ht="30.75" customHeight="1" x14ac:dyDescent="0.15"/>
    <row r="572" ht="30.75" customHeight="1" x14ac:dyDescent="0.15"/>
    <row r="573" ht="30.75" customHeight="1" x14ac:dyDescent="0.15"/>
    <row r="574" ht="30.75" customHeight="1" x14ac:dyDescent="0.15"/>
    <row r="575" ht="30.75" customHeight="1" x14ac:dyDescent="0.15"/>
    <row r="576" ht="30.75" customHeight="1" x14ac:dyDescent="0.15"/>
    <row r="577" ht="30.75" customHeight="1" x14ac:dyDescent="0.15"/>
    <row r="578" ht="30.75" customHeight="1" x14ac:dyDescent="0.15"/>
    <row r="579" ht="30.75" customHeight="1" x14ac:dyDescent="0.15"/>
    <row r="580" ht="30.75" customHeight="1" x14ac:dyDescent="0.15"/>
    <row r="581" ht="30.75" customHeight="1" x14ac:dyDescent="0.15"/>
    <row r="582" ht="30.75" customHeight="1" x14ac:dyDescent="0.15"/>
    <row r="583" ht="30.75" customHeight="1" x14ac:dyDescent="0.15"/>
    <row r="584" ht="30.75" customHeight="1" x14ac:dyDescent="0.15"/>
    <row r="585" ht="30.75" customHeight="1" x14ac:dyDescent="0.15"/>
    <row r="586" ht="30.75" customHeight="1" x14ac:dyDescent="0.15"/>
    <row r="587" ht="30.75" customHeight="1" x14ac:dyDescent="0.15"/>
    <row r="588" ht="30.75" customHeight="1" x14ac:dyDescent="0.15"/>
    <row r="589" ht="30.75" customHeight="1" x14ac:dyDescent="0.15"/>
    <row r="590" ht="30.75" customHeight="1" x14ac:dyDescent="0.15"/>
    <row r="591" ht="30.75" customHeight="1" x14ac:dyDescent="0.15"/>
    <row r="592" ht="30.75" customHeight="1" x14ac:dyDescent="0.15"/>
    <row r="593" ht="30.75" customHeight="1" x14ac:dyDescent="0.15"/>
    <row r="594" ht="30.75" customHeight="1" x14ac:dyDescent="0.15"/>
    <row r="595" ht="30.75" customHeight="1" x14ac:dyDescent="0.15"/>
    <row r="596" ht="30.75" customHeight="1" x14ac:dyDescent="0.15"/>
    <row r="597" ht="30.75" customHeight="1" x14ac:dyDescent="0.15"/>
    <row r="598" ht="30.75" customHeight="1" x14ac:dyDescent="0.15"/>
    <row r="599" ht="30.75" customHeight="1" x14ac:dyDescent="0.15"/>
    <row r="600" ht="30.75" customHeight="1" x14ac:dyDescent="0.15"/>
    <row r="601" ht="30.75" customHeight="1" x14ac:dyDescent="0.15"/>
    <row r="602" ht="30.75" customHeight="1" x14ac:dyDescent="0.15"/>
    <row r="603" ht="30.75" customHeight="1" x14ac:dyDescent="0.15"/>
    <row r="604" ht="30.75" customHeight="1" x14ac:dyDescent="0.15"/>
    <row r="605" ht="30.75" customHeight="1" x14ac:dyDescent="0.15"/>
    <row r="606" ht="30.75" customHeight="1" x14ac:dyDescent="0.15"/>
    <row r="607" ht="30.75" customHeight="1" x14ac:dyDescent="0.15"/>
    <row r="608" ht="30.75" customHeight="1" x14ac:dyDescent="0.15"/>
    <row r="609" ht="30.75" customHeight="1" x14ac:dyDescent="0.15"/>
    <row r="610" ht="30.75" customHeight="1" x14ac:dyDescent="0.15"/>
    <row r="611" ht="30.75" customHeight="1" x14ac:dyDescent="0.15"/>
    <row r="612" ht="30.75" customHeight="1" x14ac:dyDescent="0.15"/>
    <row r="613" ht="30.75" customHeight="1" x14ac:dyDescent="0.15"/>
    <row r="614" ht="30.75" customHeight="1" x14ac:dyDescent="0.15"/>
    <row r="615" ht="30.75" customHeight="1" x14ac:dyDescent="0.15"/>
    <row r="616" ht="30.75" customHeight="1" x14ac:dyDescent="0.15"/>
    <row r="617" ht="30.75" customHeight="1" x14ac:dyDescent="0.15"/>
    <row r="618" ht="30.75" customHeight="1" x14ac:dyDescent="0.15"/>
    <row r="619" ht="30.75" customHeight="1" x14ac:dyDescent="0.15"/>
    <row r="620" ht="30.75" customHeight="1" x14ac:dyDescent="0.15"/>
    <row r="621" ht="30.75" customHeight="1" x14ac:dyDescent="0.15"/>
    <row r="622" ht="30.75" customHeight="1" x14ac:dyDescent="0.15"/>
    <row r="623" ht="30.75" customHeight="1" x14ac:dyDescent="0.15"/>
    <row r="624" ht="30.75" customHeight="1" x14ac:dyDescent="0.15"/>
    <row r="625" ht="30.75" customHeight="1" x14ac:dyDescent="0.15"/>
    <row r="626" ht="30.75" customHeight="1" x14ac:dyDescent="0.15"/>
    <row r="627" ht="30.75" customHeight="1" x14ac:dyDescent="0.15"/>
    <row r="628" ht="30.75" customHeight="1" x14ac:dyDescent="0.15"/>
    <row r="629" ht="30.75" customHeight="1" x14ac:dyDescent="0.15"/>
    <row r="630" ht="30.75" customHeight="1" x14ac:dyDescent="0.15"/>
    <row r="631" ht="30.75" customHeight="1" x14ac:dyDescent="0.15"/>
    <row r="632" ht="30.75" customHeight="1" x14ac:dyDescent="0.15"/>
    <row r="633" ht="30.75" customHeight="1" x14ac:dyDescent="0.15"/>
    <row r="634" ht="30.75" customHeight="1" x14ac:dyDescent="0.15"/>
    <row r="635" ht="30.75" customHeight="1" x14ac:dyDescent="0.15"/>
    <row r="636" ht="30.75" customHeight="1" x14ac:dyDescent="0.15"/>
    <row r="637" ht="30.75" customHeight="1" x14ac:dyDescent="0.15"/>
    <row r="638" ht="30.75" customHeight="1" x14ac:dyDescent="0.15"/>
    <row r="639" ht="30.75" customHeight="1" x14ac:dyDescent="0.15"/>
    <row r="640" ht="30.75" customHeight="1" x14ac:dyDescent="0.15"/>
    <row r="641" ht="30.75" customHeight="1" x14ac:dyDescent="0.15"/>
    <row r="642" ht="30.75" customHeight="1" x14ac:dyDescent="0.15"/>
    <row r="643" ht="30.75" customHeight="1" x14ac:dyDescent="0.15"/>
    <row r="644" ht="30.75" customHeight="1" x14ac:dyDescent="0.15"/>
    <row r="645" ht="30.75" customHeight="1" x14ac:dyDescent="0.15"/>
    <row r="646" ht="30.75" customHeight="1" x14ac:dyDescent="0.15"/>
    <row r="647" ht="30.75" customHeight="1" x14ac:dyDescent="0.15"/>
    <row r="648" ht="30.75" customHeight="1" x14ac:dyDescent="0.15"/>
    <row r="649" ht="30.75" customHeight="1" x14ac:dyDescent="0.15"/>
    <row r="650" ht="30.75" customHeight="1" x14ac:dyDescent="0.15"/>
    <row r="651" ht="30.75" customHeight="1" x14ac:dyDescent="0.15"/>
    <row r="652" ht="30.75" customHeight="1" x14ac:dyDescent="0.15"/>
    <row r="653" ht="30.75" customHeight="1" x14ac:dyDescent="0.15"/>
    <row r="654" ht="30.75" customHeight="1" x14ac:dyDescent="0.15"/>
    <row r="655" ht="30.75" customHeight="1" x14ac:dyDescent="0.15"/>
    <row r="656" ht="30.75" customHeight="1" x14ac:dyDescent="0.15"/>
    <row r="657" ht="30.75" customHeight="1" x14ac:dyDescent="0.15"/>
    <row r="658" ht="30.75" customHeight="1" x14ac:dyDescent="0.15"/>
    <row r="659" ht="30.75" customHeight="1" x14ac:dyDescent="0.15"/>
    <row r="660" ht="30.75" customHeight="1" x14ac:dyDescent="0.15"/>
    <row r="661" ht="30.75" customHeight="1" x14ac:dyDescent="0.15"/>
    <row r="662" ht="30.75" customHeight="1" x14ac:dyDescent="0.15"/>
    <row r="663" ht="30.75" customHeight="1" x14ac:dyDescent="0.15"/>
    <row r="664" ht="30.75" customHeight="1" x14ac:dyDescent="0.15"/>
    <row r="665" ht="30.75" customHeight="1" x14ac:dyDescent="0.15"/>
    <row r="666" ht="30.75" customHeight="1" x14ac:dyDescent="0.15"/>
    <row r="667" ht="30.75" customHeight="1" x14ac:dyDescent="0.15"/>
    <row r="668" ht="30.75" customHeight="1" x14ac:dyDescent="0.15"/>
    <row r="669" ht="30.75" customHeight="1" x14ac:dyDescent="0.15"/>
    <row r="670" ht="30.75" customHeight="1" x14ac:dyDescent="0.15"/>
    <row r="671" ht="30.75" customHeight="1" x14ac:dyDescent="0.15"/>
    <row r="672" ht="30.75" customHeight="1" x14ac:dyDescent="0.15"/>
    <row r="673" ht="30.75" customHeight="1" x14ac:dyDescent="0.15"/>
    <row r="674" ht="30.75" customHeight="1" x14ac:dyDescent="0.15"/>
    <row r="675" ht="30.75" customHeight="1" x14ac:dyDescent="0.15"/>
    <row r="676" ht="30.75" customHeight="1" x14ac:dyDescent="0.15"/>
    <row r="677" ht="30.75" customHeight="1" x14ac:dyDescent="0.15"/>
    <row r="678" ht="30.75" customHeight="1" x14ac:dyDescent="0.15"/>
    <row r="679" ht="30.75" customHeight="1" x14ac:dyDescent="0.15"/>
    <row r="680" ht="30.75" customHeight="1" x14ac:dyDescent="0.15"/>
    <row r="681" ht="30.75" customHeight="1" x14ac:dyDescent="0.15"/>
    <row r="682" ht="30.75" customHeight="1" x14ac:dyDescent="0.15"/>
    <row r="683" ht="30.75" customHeight="1" x14ac:dyDescent="0.15"/>
    <row r="684" ht="30.75" customHeight="1" x14ac:dyDescent="0.15"/>
    <row r="685" ht="30.75" customHeight="1" x14ac:dyDescent="0.15"/>
    <row r="686" ht="30.75" customHeight="1" x14ac:dyDescent="0.15"/>
    <row r="687" ht="30.75" customHeight="1" x14ac:dyDescent="0.15"/>
    <row r="688" ht="30.75" customHeight="1" x14ac:dyDescent="0.15"/>
    <row r="689" ht="30.75" customHeight="1" x14ac:dyDescent="0.15"/>
    <row r="690" ht="30.75" customHeight="1" x14ac:dyDescent="0.15"/>
    <row r="691" ht="30.75" customHeight="1" x14ac:dyDescent="0.15"/>
    <row r="692" ht="30.75" customHeight="1" x14ac:dyDescent="0.15"/>
    <row r="693" ht="30.75" customHeight="1" x14ac:dyDescent="0.15"/>
    <row r="694" ht="30.75" customHeight="1" x14ac:dyDescent="0.15"/>
    <row r="695" ht="30.75" customHeight="1" x14ac:dyDescent="0.15"/>
    <row r="696" ht="30.75" customHeight="1" x14ac:dyDescent="0.15"/>
    <row r="697" ht="30.75" customHeight="1" x14ac:dyDescent="0.15"/>
    <row r="698" ht="30.75" customHeight="1" x14ac:dyDescent="0.15"/>
    <row r="699" ht="30.75" customHeight="1" x14ac:dyDescent="0.15"/>
    <row r="700" ht="30.75" customHeight="1" x14ac:dyDescent="0.15"/>
    <row r="701" ht="30.75" customHeight="1" x14ac:dyDescent="0.15"/>
    <row r="702" ht="30.75" customHeight="1" x14ac:dyDescent="0.15"/>
    <row r="703" ht="30.75" customHeight="1" x14ac:dyDescent="0.15"/>
    <row r="704" ht="30.75" customHeight="1" x14ac:dyDescent="0.15"/>
    <row r="705" ht="30.75" customHeight="1" x14ac:dyDescent="0.15"/>
    <row r="706" ht="30.75" customHeight="1" x14ac:dyDescent="0.15"/>
    <row r="707" ht="30.75" customHeight="1" x14ac:dyDescent="0.15"/>
    <row r="708" ht="30.75" customHeight="1" x14ac:dyDescent="0.15"/>
    <row r="709" ht="30.75" customHeight="1" x14ac:dyDescent="0.15"/>
    <row r="710" ht="30.75" customHeight="1" x14ac:dyDescent="0.15"/>
    <row r="711" ht="30.75" customHeight="1" x14ac:dyDescent="0.15"/>
    <row r="712" ht="30.75" customHeight="1" x14ac:dyDescent="0.15"/>
    <row r="713" ht="30.75" customHeight="1" x14ac:dyDescent="0.15"/>
    <row r="714" ht="30.75" customHeight="1" x14ac:dyDescent="0.15"/>
    <row r="715" ht="30.75" customHeight="1" x14ac:dyDescent="0.15"/>
    <row r="716" ht="30.75" customHeight="1" x14ac:dyDescent="0.15"/>
    <row r="717" ht="30.75" customHeight="1" x14ac:dyDescent="0.15"/>
    <row r="718" ht="30.75" customHeight="1" x14ac:dyDescent="0.15"/>
    <row r="719" ht="30.75" customHeight="1" x14ac:dyDescent="0.15"/>
    <row r="720" ht="30.75" customHeight="1" x14ac:dyDescent="0.15"/>
    <row r="721" ht="30.75" customHeight="1" x14ac:dyDescent="0.15"/>
    <row r="722" ht="30.75" customHeight="1" x14ac:dyDescent="0.15"/>
    <row r="723" ht="30.75" customHeight="1" x14ac:dyDescent="0.15"/>
    <row r="724" ht="30.75" customHeight="1" x14ac:dyDescent="0.15"/>
    <row r="725" ht="30.75" customHeight="1" x14ac:dyDescent="0.15"/>
    <row r="726" ht="30.75" customHeight="1" x14ac:dyDescent="0.15"/>
    <row r="727" ht="30.75" customHeight="1" x14ac:dyDescent="0.15"/>
    <row r="728" ht="30.75" customHeight="1" x14ac:dyDescent="0.15"/>
    <row r="729" ht="30.75" customHeight="1" x14ac:dyDescent="0.15"/>
    <row r="730" ht="30.75" customHeight="1" x14ac:dyDescent="0.15"/>
    <row r="731" ht="30.75" customHeight="1" x14ac:dyDescent="0.15"/>
    <row r="732" ht="30.75" customHeight="1" x14ac:dyDescent="0.15"/>
    <row r="733" ht="30.75" customHeight="1" x14ac:dyDescent="0.15"/>
    <row r="734" ht="30.75" customHeight="1" x14ac:dyDescent="0.15"/>
    <row r="735" ht="30.75" customHeight="1" x14ac:dyDescent="0.15"/>
    <row r="736" ht="30.75" customHeight="1" x14ac:dyDescent="0.15"/>
    <row r="737" ht="30.75" customHeight="1" x14ac:dyDescent="0.15"/>
    <row r="738" ht="30.75" customHeight="1" x14ac:dyDescent="0.15"/>
    <row r="739" ht="30.75" customHeight="1" x14ac:dyDescent="0.15"/>
    <row r="740" ht="30.75" customHeight="1" x14ac:dyDescent="0.15"/>
    <row r="741" ht="30.75" customHeight="1" x14ac:dyDescent="0.15"/>
    <row r="742" ht="30.75" customHeight="1" x14ac:dyDescent="0.15"/>
    <row r="743" ht="30.75" customHeight="1" x14ac:dyDescent="0.15"/>
    <row r="744" ht="30.75" customHeight="1" x14ac:dyDescent="0.15"/>
    <row r="745" ht="30.75" customHeight="1" x14ac:dyDescent="0.15"/>
    <row r="746" ht="30.75" customHeight="1" x14ac:dyDescent="0.15"/>
    <row r="747" ht="30.75" customHeight="1" x14ac:dyDescent="0.15"/>
    <row r="748" ht="30.75" customHeight="1" x14ac:dyDescent="0.15"/>
    <row r="749" ht="30.75" customHeight="1" x14ac:dyDescent="0.15"/>
    <row r="750" ht="30.75" customHeight="1" x14ac:dyDescent="0.15"/>
    <row r="751" ht="30.75" customHeight="1" x14ac:dyDescent="0.15"/>
    <row r="752" ht="30.75" customHeight="1" x14ac:dyDescent="0.15"/>
    <row r="753" ht="30.75" customHeight="1" x14ac:dyDescent="0.15"/>
    <row r="754" ht="30.75" customHeight="1" x14ac:dyDescent="0.15"/>
    <row r="755" ht="30.75" customHeight="1" x14ac:dyDescent="0.15"/>
    <row r="756" ht="30.75" customHeight="1" x14ac:dyDescent="0.15"/>
    <row r="757" ht="30.75" customHeight="1" x14ac:dyDescent="0.15"/>
    <row r="758" ht="30.75" customHeight="1" x14ac:dyDescent="0.15"/>
    <row r="759" ht="30.75" customHeight="1" x14ac:dyDescent="0.15"/>
    <row r="760" ht="30.75" customHeight="1" x14ac:dyDescent="0.15"/>
    <row r="761" ht="30.75" customHeight="1" x14ac:dyDescent="0.15"/>
    <row r="762" ht="30.75" customHeight="1" x14ac:dyDescent="0.15"/>
    <row r="763" ht="30.75" customHeight="1" x14ac:dyDescent="0.15"/>
    <row r="764" ht="30.75" customHeight="1" x14ac:dyDescent="0.15"/>
    <row r="765" ht="30.75" customHeight="1" x14ac:dyDescent="0.15"/>
    <row r="766" ht="30.75" customHeight="1" x14ac:dyDescent="0.15"/>
    <row r="767" ht="30.75" customHeight="1" x14ac:dyDescent="0.15"/>
    <row r="768" ht="30.75" customHeight="1" x14ac:dyDescent="0.15"/>
    <row r="769" ht="30.75" customHeight="1" x14ac:dyDescent="0.15"/>
    <row r="770" ht="30.75" customHeight="1" x14ac:dyDescent="0.15"/>
    <row r="771" ht="30.75" customHeight="1" x14ac:dyDescent="0.15"/>
    <row r="772" ht="30.75" customHeight="1" x14ac:dyDescent="0.15"/>
    <row r="773" ht="30.75" customHeight="1" x14ac:dyDescent="0.15"/>
    <row r="774" ht="30.75" customHeight="1" x14ac:dyDescent="0.15"/>
    <row r="775" ht="30.75" customHeight="1" x14ac:dyDescent="0.15"/>
    <row r="776" ht="30.75" customHeight="1" x14ac:dyDescent="0.15"/>
    <row r="777" ht="30.75" customHeight="1" x14ac:dyDescent="0.15"/>
    <row r="778" ht="30.75" customHeight="1" x14ac:dyDescent="0.15"/>
    <row r="779" ht="30.75" customHeight="1" x14ac:dyDescent="0.15"/>
    <row r="780" ht="30.75" customHeight="1" x14ac:dyDescent="0.15"/>
    <row r="781" ht="30.75" customHeight="1" x14ac:dyDescent="0.15"/>
    <row r="782" ht="30.75" customHeight="1" x14ac:dyDescent="0.15"/>
    <row r="783" ht="30.75" customHeight="1" x14ac:dyDescent="0.15"/>
    <row r="784" ht="30.75" customHeight="1" x14ac:dyDescent="0.15"/>
    <row r="785" ht="30.75" customHeight="1" x14ac:dyDescent="0.15"/>
    <row r="786" ht="30.75" customHeight="1" x14ac:dyDescent="0.15"/>
    <row r="787" ht="30.75" customHeight="1" x14ac:dyDescent="0.15"/>
    <row r="788" ht="30.75" customHeight="1" x14ac:dyDescent="0.15"/>
    <row r="789" ht="30.75" customHeight="1" x14ac:dyDescent="0.15"/>
    <row r="790" ht="30.75" customHeight="1" x14ac:dyDescent="0.15"/>
    <row r="791" ht="30.75" customHeight="1" x14ac:dyDescent="0.15"/>
    <row r="792" ht="30.75" customHeight="1" x14ac:dyDescent="0.15"/>
    <row r="793" ht="30.75" customHeight="1" x14ac:dyDescent="0.15"/>
    <row r="794" ht="30.75" customHeight="1" x14ac:dyDescent="0.15"/>
    <row r="795" ht="30.75" customHeight="1" x14ac:dyDescent="0.15"/>
    <row r="796" ht="30.75" customHeight="1" x14ac:dyDescent="0.15"/>
    <row r="797" ht="30.75" customHeight="1" x14ac:dyDescent="0.15"/>
    <row r="798" ht="30.75" customHeight="1" x14ac:dyDescent="0.15"/>
    <row r="799" ht="30.75" customHeight="1" x14ac:dyDescent="0.15"/>
    <row r="800" ht="30.75" customHeight="1" x14ac:dyDescent="0.15"/>
    <row r="801" ht="30.75" customHeight="1" x14ac:dyDescent="0.15"/>
    <row r="802" ht="30.75" customHeight="1" x14ac:dyDescent="0.15"/>
    <row r="803" ht="30.75" customHeight="1" x14ac:dyDescent="0.15"/>
    <row r="804" ht="30.75" customHeight="1" x14ac:dyDescent="0.15"/>
    <row r="805" ht="30.75" customHeight="1" x14ac:dyDescent="0.15"/>
    <row r="806" ht="30.75" customHeight="1" x14ac:dyDescent="0.15"/>
    <row r="807" ht="30.75" customHeight="1" x14ac:dyDescent="0.15"/>
    <row r="808" ht="30.75" customHeight="1" x14ac:dyDescent="0.15"/>
    <row r="809" ht="30.75" customHeight="1" x14ac:dyDescent="0.15"/>
    <row r="810" ht="30.75" customHeight="1" x14ac:dyDescent="0.15"/>
    <row r="811" ht="30.75" customHeight="1" x14ac:dyDescent="0.15"/>
    <row r="812" ht="30.75" customHeight="1" x14ac:dyDescent="0.15"/>
    <row r="813" ht="30.75" customHeight="1" x14ac:dyDescent="0.15"/>
    <row r="814" ht="30.75" customHeight="1" x14ac:dyDescent="0.15"/>
    <row r="815" ht="30.75" customHeight="1" x14ac:dyDescent="0.15"/>
    <row r="816" ht="30.75" customHeight="1" x14ac:dyDescent="0.15"/>
    <row r="817" ht="30.75" customHeight="1" x14ac:dyDescent="0.15"/>
    <row r="818" ht="30.75" customHeight="1" x14ac:dyDescent="0.15"/>
    <row r="819" ht="30.75" customHeight="1" x14ac:dyDescent="0.15"/>
    <row r="820" ht="30.75" customHeight="1" x14ac:dyDescent="0.15"/>
    <row r="821" ht="30.75" customHeight="1" x14ac:dyDescent="0.15"/>
    <row r="822" ht="30.75" customHeight="1" x14ac:dyDescent="0.15"/>
    <row r="823" ht="30.75" customHeight="1" x14ac:dyDescent="0.15"/>
    <row r="824" ht="30.75" customHeight="1" x14ac:dyDescent="0.15"/>
    <row r="825" ht="30.75" customHeight="1" x14ac:dyDescent="0.15"/>
    <row r="826" ht="30.75" customHeight="1" x14ac:dyDescent="0.15"/>
    <row r="827" ht="30.75" customHeight="1" x14ac:dyDescent="0.15"/>
    <row r="828" ht="30.75" customHeight="1" x14ac:dyDescent="0.15"/>
    <row r="829" ht="30.75" customHeight="1" x14ac:dyDescent="0.15"/>
    <row r="830" ht="30.75" customHeight="1" x14ac:dyDescent="0.15"/>
    <row r="831" ht="30.75" customHeight="1" x14ac:dyDescent="0.15"/>
    <row r="832" ht="30.75" customHeight="1" x14ac:dyDescent="0.15"/>
    <row r="833" ht="30.75" customHeight="1" x14ac:dyDescent="0.15"/>
    <row r="834" ht="30.75" customHeight="1" x14ac:dyDescent="0.15"/>
    <row r="835" ht="30.75" customHeight="1" x14ac:dyDescent="0.15"/>
    <row r="836" ht="30.75" customHeight="1" x14ac:dyDescent="0.15"/>
    <row r="837" ht="30.75" customHeight="1" x14ac:dyDescent="0.15"/>
    <row r="838" ht="30.75" customHeight="1" x14ac:dyDescent="0.15"/>
    <row r="839" ht="30.75" customHeight="1" x14ac:dyDescent="0.15"/>
    <row r="840" ht="30.75" customHeight="1" x14ac:dyDescent="0.15"/>
    <row r="841" ht="30.75" customHeight="1" x14ac:dyDescent="0.15"/>
    <row r="842" ht="30.75" customHeight="1" x14ac:dyDescent="0.15"/>
    <row r="843" ht="30.75" customHeight="1" x14ac:dyDescent="0.15"/>
    <row r="844" ht="30.75" customHeight="1" x14ac:dyDescent="0.15"/>
    <row r="845" ht="30.75" customHeight="1" x14ac:dyDescent="0.15"/>
    <row r="846" ht="30.75" customHeight="1" x14ac:dyDescent="0.15"/>
    <row r="847" ht="30.75" customHeight="1" x14ac:dyDescent="0.15"/>
    <row r="848" ht="30.75" customHeight="1" x14ac:dyDescent="0.15"/>
    <row r="849" ht="30.75" customHeight="1" x14ac:dyDescent="0.15"/>
    <row r="850" ht="30.75" customHeight="1" x14ac:dyDescent="0.15"/>
    <row r="851" ht="30.75" customHeight="1" x14ac:dyDescent="0.15"/>
    <row r="852" ht="30.75" customHeight="1" x14ac:dyDescent="0.15"/>
    <row r="853" ht="30.75" customHeight="1" x14ac:dyDescent="0.15"/>
    <row r="854" ht="30.75" customHeight="1" x14ac:dyDescent="0.15"/>
    <row r="855" ht="30.75" customHeight="1" x14ac:dyDescent="0.15"/>
    <row r="856" ht="30.75" customHeight="1" x14ac:dyDescent="0.15"/>
    <row r="857" ht="30.75" customHeight="1" x14ac:dyDescent="0.15"/>
    <row r="858" ht="30.75" customHeight="1" x14ac:dyDescent="0.15"/>
    <row r="859" ht="30.75" customHeight="1" x14ac:dyDescent="0.15"/>
    <row r="860" ht="30.75" customHeight="1" x14ac:dyDescent="0.15"/>
    <row r="861" ht="30.75" customHeight="1" x14ac:dyDescent="0.15"/>
    <row r="862" ht="30.75" customHeight="1" x14ac:dyDescent="0.15"/>
    <row r="863" ht="30.75" customHeight="1" x14ac:dyDescent="0.15"/>
    <row r="864" ht="30.75" customHeight="1" x14ac:dyDescent="0.15"/>
    <row r="865" ht="30.75" customHeight="1" x14ac:dyDescent="0.15"/>
    <row r="866" ht="30.75" customHeight="1" x14ac:dyDescent="0.15"/>
    <row r="867" ht="30.75" customHeight="1" x14ac:dyDescent="0.15"/>
    <row r="868" ht="30.75" customHeight="1" x14ac:dyDescent="0.15"/>
    <row r="869" ht="30.75" customHeight="1" x14ac:dyDescent="0.15"/>
    <row r="870" ht="30.75" customHeight="1" x14ac:dyDescent="0.15"/>
    <row r="871" ht="30.75" customHeight="1" x14ac:dyDescent="0.15"/>
    <row r="872" ht="30.75" customHeight="1" x14ac:dyDescent="0.15"/>
    <row r="873" ht="30.75" customHeight="1" x14ac:dyDescent="0.15"/>
    <row r="874" ht="30.75" customHeight="1" x14ac:dyDescent="0.15"/>
    <row r="875" ht="30.75" customHeight="1" x14ac:dyDescent="0.15"/>
    <row r="876" ht="30.75" customHeight="1" x14ac:dyDescent="0.15"/>
    <row r="877" ht="30.75" customHeight="1" x14ac:dyDescent="0.15"/>
    <row r="878" ht="30.75" customHeight="1" x14ac:dyDescent="0.15"/>
    <row r="879" ht="30.75" customHeight="1" x14ac:dyDescent="0.15"/>
    <row r="880" ht="30.75" customHeight="1" x14ac:dyDescent="0.15"/>
    <row r="881" ht="30.75" customHeight="1" x14ac:dyDescent="0.15"/>
    <row r="882" ht="30.75" customHeight="1" x14ac:dyDescent="0.15"/>
    <row r="883" ht="30.75" customHeight="1" x14ac:dyDescent="0.15"/>
    <row r="884" ht="30.75" customHeight="1" x14ac:dyDescent="0.15"/>
    <row r="885" ht="30.75" customHeight="1" x14ac:dyDescent="0.15"/>
    <row r="886" ht="30.75" customHeight="1" x14ac:dyDescent="0.15"/>
    <row r="887" ht="30.75" customHeight="1" x14ac:dyDescent="0.15"/>
    <row r="888" ht="30.75" customHeight="1" x14ac:dyDescent="0.15"/>
    <row r="889" ht="30.75" customHeight="1" x14ac:dyDescent="0.15"/>
    <row r="890" ht="30.75" customHeight="1" x14ac:dyDescent="0.15"/>
    <row r="891" ht="30.75" customHeight="1" x14ac:dyDescent="0.15"/>
    <row r="892" ht="30.75" customHeight="1" x14ac:dyDescent="0.15"/>
    <row r="893" ht="30.75" customHeight="1" x14ac:dyDescent="0.15"/>
    <row r="894" ht="30.75" customHeight="1" x14ac:dyDescent="0.15"/>
    <row r="895" ht="30.75" customHeight="1" x14ac:dyDescent="0.15"/>
    <row r="896" ht="30.75" customHeight="1" x14ac:dyDescent="0.15"/>
    <row r="897" ht="30.75" customHeight="1" x14ac:dyDescent="0.15"/>
    <row r="898" ht="30.75" customHeight="1" x14ac:dyDescent="0.15"/>
    <row r="899" ht="30.75" customHeight="1" x14ac:dyDescent="0.15"/>
    <row r="900" ht="30.75" customHeight="1" x14ac:dyDescent="0.15"/>
    <row r="901" ht="30.75" customHeight="1" x14ac:dyDescent="0.15"/>
    <row r="902" ht="30.75" customHeight="1" x14ac:dyDescent="0.15"/>
    <row r="903" ht="30.75" customHeight="1" x14ac:dyDescent="0.15"/>
    <row r="904" ht="30.75" customHeight="1" x14ac:dyDescent="0.15"/>
    <row r="905" ht="30.75" customHeight="1" x14ac:dyDescent="0.15"/>
    <row r="906" ht="30.75" customHeight="1" x14ac:dyDescent="0.15"/>
    <row r="907" ht="30.75" customHeight="1" x14ac:dyDescent="0.15"/>
    <row r="908" ht="30.75" customHeight="1" x14ac:dyDescent="0.15"/>
    <row r="909" ht="30.75" customHeight="1" x14ac:dyDescent="0.15"/>
    <row r="910" ht="30.75" customHeight="1" x14ac:dyDescent="0.15"/>
    <row r="911" ht="30.75" customHeight="1" x14ac:dyDescent="0.15"/>
    <row r="912" ht="30.75" customHeight="1" x14ac:dyDescent="0.15"/>
    <row r="913" ht="30.75" customHeight="1" x14ac:dyDescent="0.15"/>
    <row r="914" ht="30.75" customHeight="1" x14ac:dyDescent="0.15"/>
    <row r="915" ht="30.75" customHeight="1" x14ac:dyDescent="0.15"/>
    <row r="916" ht="30.75" customHeight="1" x14ac:dyDescent="0.15"/>
    <row r="917" ht="30.75" customHeight="1" x14ac:dyDescent="0.15"/>
    <row r="918" ht="30.75" customHeight="1" x14ac:dyDescent="0.15"/>
    <row r="919" ht="30.75" customHeight="1" x14ac:dyDescent="0.15"/>
    <row r="920" ht="30.75" customHeight="1" x14ac:dyDescent="0.15"/>
    <row r="921" ht="30.75" customHeight="1" x14ac:dyDescent="0.15"/>
    <row r="922" ht="30.75" customHeight="1" x14ac:dyDescent="0.15"/>
    <row r="923" ht="30.75" customHeight="1" x14ac:dyDescent="0.15"/>
    <row r="924" ht="30.75" customHeight="1" x14ac:dyDescent="0.15"/>
    <row r="925" ht="30.75" customHeight="1" x14ac:dyDescent="0.15"/>
    <row r="926" ht="30.75" customHeight="1" x14ac:dyDescent="0.15"/>
    <row r="927" ht="30.75" customHeight="1" x14ac:dyDescent="0.15"/>
    <row r="928" ht="30.75" customHeight="1" x14ac:dyDescent="0.15"/>
    <row r="929" ht="30.75" customHeight="1" x14ac:dyDescent="0.15"/>
    <row r="930" ht="30.75" customHeight="1" x14ac:dyDescent="0.15"/>
    <row r="931" ht="30.75" customHeight="1" x14ac:dyDescent="0.15"/>
    <row r="932" ht="30.75" customHeight="1" x14ac:dyDescent="0.15"/>
    <row r="933" ht="30.75" customHeight="1" x14ac:dyDescent="0.15"/>
    <row r="934" ht="30.75" customHeight="1" x14ac:dyDescent="0.15"/>
    <row r="935" ht="30.75" customHeight="1" x14ac:dyDescent="0.15"/>
    <row r="936" ht="30.75" customHeight="1" x14ac:dyDescent="0.15"/>
    <row r="937" ht="30.75" customHeight="1" x14ac:dyDescent="0.15"/>
    <row r="938" ht="30.75" customHeight="1" x14ac:dyDescent="0.15"/>
    <row r="939" ht="30.75" customHeight="1" x14ac:dyDescent="0.15"/>
    <row r="940" ht="30.75" customHeight="1" x14ac:dyDescent="0.15"/>
    <row r="941" ht="30.75" customHeight="1" x14ac:dyDescent="0.15"/>
    <row r="942" ht="30.75" customHeight="1" x14ac:dyDescent="0.15"/>
    <row r="943" ht="30.75" customHeight="1" x14ac:dyDescent="0.15"/>
    <row r="944" ht="30.75" customHeight="1" x14ac:dyDescent="0.15"/>
    <row r="945" ht="30.75" customHeight="1" x14ac:dyDescent="0.15"/>
    <row r="946" ht="30.75" customHeight="1" x14ac:dyDescent="0.15"/>
    <row r="947" ht="30.75" customHeight="1" x14ac:dyDescent="0.15"/>
    <row r="948" ht="30.75" customHeight="1" x14ac:dyDescent="0.15"/>
    <row r="949" ht="30.75" customHeight="1" x14ac:dyDescent="0.15"/>
    <row r="950" ht="30.75" customHeight="1" x14ac:dyDescent="0.15"/>
    <row r="951" ht="30.75" customHeight="1" x14ac:dyDescent="0.15"/>
    <row r="952" ht="30.75" customHeight="1" x14ac:dyDescent="0.15"/>
    <row r="953" ht="30.75" customHeight="1" x14ac:dyDescent="0.15"/>
    <row r="954" ht="30.75" customHeight="1" x14ac:dyDescent="0.15"/>
    <row r="955" ht="30.75" customHeight="1" x14ac:dyDescent="0.15"/>
    <row r="956" ht="30.75" customHeight="1" x14ac:dyDescent="0.15"/>
  </sheetData>
  <dataValidations count="2">
    <dataValidation type="list" allowBlank="1" showErrorMessage="1" sqref="B5:B14 B16:B25 B27:B36 B38:B47 B49:B58 B60:B69 B72:B81 B83:B92 B94:B103 B106:B115 B117:B126 B128:B137 B139:B148 B150:B159 B162:B171 B173:B182 B185:B194 B196:B205 B207:B216 B218:B227 B230:B239 B241:B250" xr:uid="{00000000-0002-0000-0200-000000000000}">
      <formula1>"Yes,No,NA"</formula1>
    </dataValidation>
    <dataValidation type="list" allowBlank="1" showErrorMessage="1" sqref="D5:E14 D16:E25 D27:E36 D38:E47 D49:E58 D60:E69 D72:E81 D83:E92 D94:E103 D106:E115 D117:E126 D128:E137 D139:E148 D150:E159 D162:E171 D173:E182 D185:E194 D196:E205 D207:E216 D218:E227 D230:E239 D241:E250" xr:uid="{00000000-0002-0000-0200-000001000000}">
      <formula1>"High,Medium,Low"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71A8-0D3D-1B44-9AAA-E9F40BE03D04}">
  <sheetPr>
    <outlinePr summaryBelow="0" summaryRight="0"/>
  </sheetPr>
  <dimension ref="A1:H929"/>
  <sheetViews>
    <sheetView zoomScaleNormal="100" workbookViewId="0">
      <pane ySplit="2" topLeftCell="A91" activePane="bottomLeft" state="frozen"/>
      <selection pane="bottomLeft" activeCell="A259" sqref="A259"/>
    </sheetView>
  </sheetViews>
  <sheetFormatPr baseColWidth="10" defaultColWidth="12.6640625" defaultRowHeight="15.75" customHeight="1" x14ac:dyDescent="0.15"/>
  <cols>
    <col min="1" max="1" width="86.1640625" customWidth="1"/>
    <col min="2" max="3" width="15.6640625" customWidth="1"/>
    <col min="4" max="4" width="24" customWidth="1"/>
    <col min="5" max="5" width="18.1640625" customWidth="1"/>
    <col min="6" max="6" width="18.33203125" customWidth="1"/>
    <col min="7" max="7" width="25.6640625" customWidth="1"/>
    <col min="8" max="8" width="20.83203125" customWidth="1"/>
  </cols>
  <sheetData>
    <row r="1" spans="1:8" ht="30.75" customHeight="1" x14ac:dyDescent="0.2">
      <c r="A1" s="3" t="s">
        <v>276</v>
      </c>
      <c r="B1" s="4"/>
      <c r="C1" s="4"/>
      <c r="D1" s="5"/>
      <c r="E1" s="6" t="s">
        <v>6</v>
      </c>
      <c r="F1" s="7"/>
      <c r="G1" s="7"/>
      <c r="H1" s="8"/>
    </row>
    <row r="2" spans="1:8" ht="30.75" customHeight="1" x14ac:dyDescent="0.15">
      <c r="A2" s="9" t="s">
        <v>7</v>
      </c>
      <c r="B2" s="10" t="s">
        <v>8</v>
      </c>
      <c r="C2" s="10" t="s">
        <v>537</v>
      </c>
      <c r="D2" s="10" t="s">
        <v>9</v>
      </c>
      <c r="E2" s="11" t="s">
        <v>10</v>
      </c>
      <c r="F2" s="11" t="s">
        <v>11</v>
      </c>
      <c r="G2" s="11" t="s">
        <v>12</v>
      </c>
      <c r="H2" s="12" t="s">
        <v>13</v>
      </c>
    </row>
    <row r="3" spans="1:8" ht="30.75" customHeight="1" x14ac:dyDescent="0.15">
      <c r="A3" s="13" t="s">
        <v>277</v>
      </c>
      <c r="B3" s="14"/>
      <c r="C3" s="14"/>
      <c r="D3" s="14"/>
      <c r="E3" s="14"/>
      <c r="F3" s="14"/>
      <c r="G3" s="14"/>
      <c r="H3" s="15"/>
    </row>
    <row r="4" spans="1:8" ht="30.75" customHeight="1" x14ac:dyDescent="0.15">
      <c r="A4" s="16" t="s">
        <v>278</v>
      </c>
      <c r="B4" s="17"/>
      <c r="C4" s="17"/>
      <c r="D4" s="17"/>
      <c r="E4" s="19"/>
      <c r="F4" s="19"/>
      <c r="G4" s="18"/>
      <c r="H4" s="20"/>
    </row>
    <row r="5" spans="1:8" ht="30.75" customHeight="1" x14ac:dyDescent="0.15">
      <c r="A5" s="21" t="s">
        <v>329</v>
      </c>
      <c r="B5" s="42" t="s">
        <v>327</v>
      </c>
      <c r="C5" s="47">
        <f>IF(B5="Yes",2,IF(B5="Partial",1,IF(B5="No",0,"")))</f>
        <v>2</v>
      </c>
      <c r="D5" s="43" t="s">
        <v>395</v>
      </c>
      <c r="E5" s="24" t="s">
        <v>398</v>
      </c>
      <c r="F5" s="24" t="s">
        <v>397</v>
      </c>
      <c r="G5" s="45" t="s">
        <v>533</v>
      </c>
      <c r="H5" s="46" t="s">
        <v>534</v>
      </c>
    </row>
    <row r="6" spans="1:8" ht="30.75" customHeight="1" x14ac:dyDescent="0.15">
      <c r="A6" s="21" t="s">
        <v>330</v>
      </c>
      <c r="B6" s="42" t="s">
        <v>394</v>
      </c>
      <c r="C6" s="47">
        <f t="shared" ref="C6:C28" si="0">IF(B6="Yes",2,IF(B6="Partial",1,IF(B6="No",0,"")))</f>
        <v>1</v>
      </c>
      <c r="D6" s="44" t="s">
        <v>396</v>
      </c>
      <c r="E6" s="24" t="s">
        <v>398</v>
      </c>
      <c r="F6" s="24" t="s">
        <v>398</v>
      </c>
      <c r="G6" s="45" t="s">
        <v>535</v>
      </c>
      <c r="H6" s="46" t="s">
        <v>536</v>
      </c>
    </row>
    <row r="7" spans="1:8" ht="30.75" customHeight="1" x14ac:dyDescent="0.15">
      <c r="A7" s="21" t="s">
        <v>18</v>
      </c>
      <c r="B7" s="42" t="s">
        <v>327</v>
      </c>
      <c r="C7" s="47">
        <f t="shared" si="0"/>
        <v>2</v>
      </c>
      <c r="D7" s="23"/>
      <c r="E7" s="24"/>
      <c r="F7" s="24"/>
      <c r="G7" s="25"/>
      <c r="H7" s="26"/>
    </row>
    <row r="8" spans="1:8" ht="30.75" customHeight="1" x14ac:dyDescent="0.15">
      <c r="A8" s="21" t="s">
        <v>331</v>
      </c>
      <c r="B8" s="42" t="s">
        <v>394</v>
      </c>
      <c r="C8" s="47">
        <f t="shared" si="0"/>
        <v>1</v>
      </c>
      <c r="D8" s="23"/>
      <c r="E8" s="24"/>
      <c r="F8" s="24"/>
      <c r="G8" s="25"/>
      <c r="H8" s="26"/>
    </row>
    <row r="9" spans="1:8" ht="30.75" customHeight="1" x14ac:dyDescent="0.15">
      <c r="A9" s="21" t="s">
        <v>332</v>
      </c>
      <c r="B9" s="42" t="s">
        <v>328</v>
      </c>
      <c r="C9" s="47">
        <f t="shared" si="0"/>
        <v>0</v>
      </c>
      <c r="D9" s="27"/>
      <c r="E9" s="24"/>
      <c r="F9" s="24"/>
      <c r="G9" s="28"/>
      <c r="H9" s="29"/>
    </row>
    <row r="10" spans="1:8" ht="30.75" customHeight="1" x14ac:dyDescent="0.15">
      <c r="A10" s="21" t="s">
        <v>333</v>
      </c>
      <c r="B10" s="42"/>
      <c r="C10" s="47" t="str">
        <f t="shared" si="0"/>
        <v/>
      </c>
      <c r="D10" s="23"/>
      <c r="E10" s="24"/>
      <c r="F10" s="24"/>
      <c r="G10" s="25"/>
      <c r="H10" s="26"/>
    </row>
    <row r="11" spans="1:8" ht="30.75" customHeight="1" x14ac:dyDescent="0.15">
      <c r="A11" s="16" t="s">
        <v>279</v>
      </c>
      <c r="B11" s="19"/>
      <c r="C11" s="19"/>
      <c r="D11" s="18"/>
      <c r="E11" s="19"/>
      <c r="F11" s="19"/>
      <c r="G11" s="18"/>
      <c r="H11" s="20"/>
    </row>
    <row r="12" spans="1:8" ht="30.75" customHeight="1" x14ac:dyDescent="0.15">
      <c r="A12" s="21" t="s">
        <v>334</v>
      </c>
      <c r="B12" s="42"/>
      <c r="C12" s="47" t="str">
        <f t="shared" si="0"/>
        <v/>
      </c>
      <c r="D12" s="27"/>
      <c r="E12" s="24"/>
      <c r="F12" s="24"/>
      <c r="G12" s="28"/>
      <c r="H12" s="29"/>
    </row>
    <row r="13" spans="1:8" ht="30.75" customHeight="1" x14ac:dyDescent="0.15">
      <c r="A13" s="21" t="s">
        <v>335</v>
      </c>
      <c r="B13" s="42"/>
      <c r="C13" s="47" t="str">
        <f t="shared" si="0"/>
        <v/>
      </c>
      <c r="D13" s="27"/>
      <c r="E13" s="24"/>
      <c r="F13" s="24"/>
      <c r="G13" s="28"/>
      <c r="H13" s="29"/>
    </row>
    <row r="14" spans="1:8" ht="30.75" customHeight="1" x14ac:dyDescent="0.15">
      <c r="A14" s="21" t="s">
        <v>336</v>
      </c>
      <c r="B14" s="42"/>
      <c r="C14" s="47" t="str">
        <f t="shared" si="0"/>
        <v/>
      </c>
      <c r="D14" s="27"/>
      <c r="E14" s="24"/>
      <c r="F14" s="24"/>
      <c r="G14" s="28"/>
      <c r="H14" s="29"/>
    </row>
    <row r="15" spans="1:8" ht="30.75" customHeight="1" x14ac:dyDescent="0.15">
      <c r="A15" s="21" t="s">
        <v>337</v>
      </c>
      <c r="B15" s="42"/>
      <c r="C15" s="47" t="str">
        <f t="shared" si="0"/>
        <v/>
      </c>
      <c r="D15" s="27"/>
      <c r="E15" s="24"/>
      <c r="F15" s="24"/>
      <c r="G15" s="28"/>
      <c r="H15" s="29"/>
    </row>
    <row r="16" spans="1:8" ht="30.75" customHeight="1" x14ac:dyDescent="0.15">
      <c r="A16" s="21" t="s">
        <v>338</v>
      </c>
      <c r="B16" s="42"/>
      <c r="C16" s="47" t="str">
        <f t="shared" si="0"/>
        <v/>
      </c>
      <c r="D16" s="27"/>
      <c r="E16" s="24"/>
      <c r="F16" s="24"/>
      <c r="G16" s="28"/>
      <c r="H16" s="29"/>
    </row>
    <row r="17" spans="1:8" ht="30.75" customHeight="1" x14ac:dyDescent="0.15">
      <c r="A17" s="16" t="s">
        <v>280</v>
      </c>
      <c r="B17" s="19"/>
      <c r="C17" s="19"/>
      <c r="D17" s="17"/>
      <c r="E17" s="19"/>
      <c r="F17" s="19"/>
      <c r="G17" s="17"/>
      <c r="H17" s="30"/>
    </row>
    <row r="18" spans="1:8" ht="30.75" customHeight="1" x14ac:dyDescent="0.15">
      <c r="A18" s="21" t="s">
        <v>339</v>
      </c>
      <c r="B18" s="42"/>
      <c r="C18" s="47" t="str">
        <f t="shared" si="0"/>
        <v/>
      </c>
      <c r="D18" s="27"/>
      <c r="E18" s="24"/>
      <c r="F18" s="24"/>
      <c r="G18" s="28"/>
      <c r="H18" s="29"/>
    </row>
    <row r="19" spans="1:8" ht="30.75" customHeight="1" x14ac:dyDescent="0.15">
      <c r="A19" s="21" t="s">
        <v>340</v>
      </c>
      <c r="B19" s="42"/>
      <c r="C19" s="47" t="str">
        <f t="shared" si="0"/>
        <v/>
      </c>
      <c r="D19" s="27"/>
      <c r="E19" s="24"/>
      <c r="F19" s="24"/>
      <c r="G19" s="28"/>
      <c r="H19" s="29"/>
    </row>
    <row r="20" spans="1:8" ht="30.75" customHeight="1" x14ac:dyDescent="0.15">
      <c r="A20" s="21" t="s">
        <v>341</v>
      </c>
      <c r="B20" s="42"/>
      <c r="C20" s="47" t="str">
        <f t="shared" si="0"/>
        <v/>
      </c>
      <c r="D20" s="27"/>
      <c r="E20" s="24"/>
      <c r="F20" s="24"/>
      <c r="G20" s="28"/>
      <c r="H20" s="29"/>
    </row>
    <row r="21" spans="1:8" ht="30.75" customHeight="1" x14ac:dyDescent="0.15">
      <c r="A21" s="21" t="s">
        <v>342</v>
      </c>
      <c r="B21" s="42"/>
      <c r="C21" s="47" t="str">
        <f t="shared" si="0"/>
        <v/>
      </c>
      <c r="D21" s="27"/>
      <c r="E21" s="24"/>
      <c r="F21" s="24"/>
      <c r="G21" s="28"/>
      <c r="H21" s="29"/>
    </row>
    <row r="22" spans="1:8" ht="30.75" customHeight="1" x14ac:dyDescent="0.15">
      <c r="A22" s="21" t="s">
        <v>343</v>
      </c>
      <c r="B22" s="42"/>
      <c r="C22" s="47" t="str">
        <f t="shared" si="0"/>
        <v/>
      </c>
      <c r="D22" s="27"/>
      <c r="E22" s="24"/>
      <c r="F22" s="24"/>
      <c r="G22" s="28"/>
      <c r="H22" s="29"/>
    </row>
    <row r="23" spans="1:8" ht="30.75" customHeight="1" x14ac:dyDescent="0.15">
      <c r="A23" s="16" t="s">
        <v>281</v>
      </c>
      <c r="B23" s="19"/>
      <c r="C23" s="19"/>
      <c r="D23" s="17"/>
      <c r="E23" s="19"/>
      <c r="F23" s="19"/>
      <c r="G23" s="17"/>
      <c r="H23" s="30"/>
    </row>
    <row r="24" spans="1:8" ht="30.75" customHeight="1" x14ac:dyDescent="0.15">
      <c r="A24" s="21" t="s">
        <v>344</v>
      </c>
      <c r="B24" s="42"/>
      <c r="C24" s="47" t="str">
        <f t="shared" si="0"/>
        <v/>
      </c>
      <c r="D24" s="27"/>
      <c r="E24" s="24"/>
      <c r="F24" s="24"/>
      <c r="G24" s="28"/>
      <c r="H24" s="29"/>
    </row>
    <row r="25" spans="1:8" ht="30.75" customHeight="1" x14ac:dyDescent="0.15">
      <c r="A25" s="21" t="s">
        <v>345</v>
      </c>
      <c r="B25" s="42"/>
      <c r="C25" s="47" t="str">
        <f t="shared" si="0"/>
        <v/>
      </c>
      <c r="D25" s="27"/>
      <c r="E25" s="24"/>
      <c r="F25" s="24"/>
      <c r="G25" s="28"/>
      <c r="H25" s="29"/>
    </row>
    <row r="26" spans="1:8" ht="30.75" customHeight="1" x14ac:dyDescent="0.15">
      <c r="A26" s="21" t="s">
        <v>346</v>
      </c>
      <c r="B26" s="42"/>
      <c r="C26" s="47" t="str">
        <f t="shared" si="0"/>
        <v/>
      </c>
      <c r="D26" s="27"/>
      <c r="E26" s="24"/>
      <c r="F26" s="24"/>
      <c r="G26" s="28"/>
      <c r="H26" s="29"/>
    </row>
    <row r="27" spans="1:8" ht="30.75" customHeight="1" x14ac:dyDescent="0.15">
      <c r="A27" s="21" t="s">
        <v>347</v>
      </c>
      <c r="B27" s="42"/>
      <c r="C27" s="47" t="str">
        <f t="shared" si="0"/>
        <v/>
      </c>
      <c r="D27" s="27"/>
      <c r="E27" s="24"/>
      <c r="F27" s="24"/>
      <c r="G27" s="28"/>
      <c r="H27" s="29"/>
    </row>
    <row r="28" spans="1:8" ht="30.75" customHeight="1" x14ac:dyDescent="0.15">
      <c r="A28" s="21" t="s">
        <v>348</v>
      </c>
      <c r="B28" s="42"/>
      <c r="C28" s="47" t="str">
        <f t="shared" si="0"/>
        <v/>
      </c>
      <c r="D28" s="27"/>
      <c r="E28" s="24"/>
      <c r="F28" s="24"/>
      <c r="G28" s="28"/>
      <c r="H28" s="29"/>
    </row>
    <row r="29" spans="1:8" ht="30.75" customHeight="1" x14ac:dyDescent="0.15">
      <c r="A29" s="13" t="s">
        <v>282</v>
      </c>
      <c r="B29" s="31"/>
      <c r="C29" s="31"/>
      <c r="D29" s="14"/>
      <c r="E29" s="31"/>
      <c r="F29" s="31"/>
      <c r="G29" s="14"/>
      <c r="H29" s="15"/>
    </row>
    <row r="30" spans="1:8" ht="30.75" customHeight="1" x14ac:dyDescent="0.15">
      <c r="A30" s="16" t="s">
        <v>283</v>
      </c>
      <c r="B30" s="32"/>
      <c r="C30" s="32"/>
      <c r="D30" s="33"/>
      <c r="E30" s="32"/>
      <c r="F30" s="32"/>
      <c r="G30" s="33"/>
      <c r="H30" s="34"/>
    </row>
    <row r="31" spans="1:8" ht="30.75" customHeight="1" x14ac:dyDescent="0.15">
      <c r="A31" s="21" t="s">
        <v>349</v>
      </c>
      <c r="B31" s="42"/>
      <c r="C31" s="47" t="str">
        <f t="shared" ref="C31:C35" si="1">IF(B31="Yes",2,IF(B31="Partial",1,IF(B31="No",0,"")))</f>
        <v/>
      </c>
      <c r="D31" s="27"/>
      <c r="E31" s="24"/>
      <c r="F31" s="24"/>
      <c r="G31" s="28"/>
      <c r="H31" s="29"/>
    </row>
    <row r="32" spans="1:8" ht="30.75" customHeight="1" x14ac:dyDescent="0.15">
      <c r="A32" s="21" t="s">
        <v>350</v>
      </c>
      <c r="B32" s="42"/>
      <c r="C32" s="47" t="str">
        <f t="shared" si="1"/>
        <v/>
      </c>
      <c r="D32" s="27"/>
      <c r="E32" s="24"/>
      <c r="F32" s="24"/>
      <c r="G32" s="28"/>
      <c r="H32" s="29"/>
    </row>
    <row r="33" spans="1:8" ht="30.75" customHeight="1" x14ac:dyDescent="0.15">
      <c r="A33" s="21" t="s">
        <v>351</v>
      </c>
      <c r="B33" s="42"/>
      <c r="C33" s="47" t="str">
        <f t="shared" si="1"/>
        <v/>
      </c>
      <c r="D33" s="27"/>
      <c r="E33" s="24"/>
      <c r="F33" s="24"/>
      <c r="G33" s="28"/>
      <c r="H33" s="29"/>
    </row>
    <row r="34" spans="1:8" ht="30.75" customHeight="1" x14ac:dyDescent="0.15">
      <c r="A34" s="21" t="s">
        <v>352</v>
      </c>
      <c r="B34" s="42"/>
      <c r="C34" s="47" t="str">
        <f t="shared" si="1"/>
        <v/>
      </c>
      <c r="D34" s="27"/>
      <c r="E34" s="24"/>
      <c r="F34" s="24"/>
      <c r="G34" s="28"/>
      <c r="H34" s="29"/>
    </row>
    <row r="35" spans="1:8" ht="30.75" customHeight="1" x14ac:dyDescent="0.15">
      <c r="A35" s="21" t="s">
        <v>353</v>
      </c>
      <c r="B35" s="42"/>
      <c r="C35" s="47" t="str">
        <f t="shared" si="1"/>
        <v/>
      </c>
      <c r="D35" s="27"/>
      <c r="E35" s="24"/>
      <c r="F35" s="24"/>
      <c r="G35" s="28"/>
      <c r="H35" s="29"/>
    </row>
    <row r="36" spans="1:8" ht="30.75" customHeight="1" x14ac:dyDescent="0.15">
      <c r="A36" s="16" t="s">
        <v>284</v>
      </c>
      <c r="B36" s="19"/>
      <c r="C36" s="19"/>
      <c r="D36" s="17"/>
      <c r="E36" s="19"/>
      <c r="F36" s="19"/>
      <c r="G36" s="17"/>
      <c r="H36" s="30"/>
    </row>
    <row r="37" spans="1:8" ht="30.75" customHeight="1" x14ac:dyDescent="0.15">
      <c r="A37" s="21" t="s">
        <v>354</v>
      </c>
      <c r="B37" s="42"/>
      <c r="C37" s="47" t="str">
        <f t="shared" ref="C37:C41" si="2">IF(B37="Yes",2,IF(B37="Partial",1,IF(B37="No",0,"")))</f>
        <v/>
      </c>
      <c r="D37" s="27"/>
      <c r="E37" s="24"/>
      <c r="F37" s="24"/>
      <c r="G37" s="28"/>
      <c r="H37" s="29"/>
    </row>
    <row r="38" spans="1:8" ht="30.75" customHeight="1" x14ac:dyDescent="0.15">
      <c r="A38" s="21" t="s">
        <v>355</v>
      </c>
      <c r="B38" s="42"/>
      <c r="C38" s="47" t="str">
        <f t="shared" si="2"/>
        <v/>
      </c>
      <c r="D38" s="27"/>
      <c r="E38" s="24"/>
      <c r="F38" s="24"/>
      <c r="G38" s="28"/>
      <c r="H38" s="29"/>
    </row>
    <row r="39" spans="1:8" ht="30.75" customHeight="1" x14ac:dyDescent="0.15">
      <c r="A39" s="21" t="s">
        <v>356</v>
      </c>
      <c r="B39" s="42"/>
      <c r="C39" s="47" t="str">
        <f t="shared" si="2"/>
        <v/>
      </c>
      <c r="D39" s="27"/>
      <c r="E39" s="24"/>
      <c r="F39" s="24"/>
      <c r="G39" s="28"/>
      <c r="H39" s="29"/>
    </row>
    <row r="40" spans="1:8" ht="30.75" customHeight="1" x14ac:dyDescent="0.15">
      <c r="A40" s="21" t="s">
        <v>357</v>
      </c>
      <c r="B40" s="42"/>
      <c r="C40" s="47" t="str">
        <f t="shared" si="2"/>
        <v/>
      </c>
      <c r="D40" s="27"/>
      <c r="E40" s="24"/>
      <c r="F40" s="24"/>
      <c r="G40" s="28"/>
      <c r="H40" s="29"/>
    </row>
    <row r="41" spans="1:8" ht="30.75" customHeight="1" x14ac:dyDescent="0.15">
      <c r="A41" s="21" t="s">
        <v>358</v>
      </c>
      <c r="B41" s="42"/>
      <c r="C41" s="47" t="str">
        <f t="shared" si="2"/>
        <v/>
      </c>
      <c r="D41" s="27"/>
      <c r="E41" s="24"/>
      <c r="F41" s="24"/>
      <c r="G41" s="28"/>
      <c r="H41" s="29"/>
    </row>
    <row r="42" spans="1:8" ht="30.75" customHeight="1" x14ac:dyDescent="0.15">
      <c r="A42" s="16" t="s">
        <v>285</v>
      </c>
      <c r="B42" s="19"/>
      <c r="C42" s="19"/>
      <c r="D42" s="17"/>
      <c r="E42" s="19"/>
      <c r="F42" s="19"/>
      <c r="G42" s="17"/>
      <c r="H42" s="30"/>
    </row>
    <row r="43" spans="1:8" ht="30.75" customHeight="1" x14ac:dyDescent="0.15">
      <c r="A43" s="21" t="s">
        <v>359</v>
      </c>
      <c r="B43" s="42"/>
      <c r="C43" s="47" t="str">
        <f t="shared" ref="C43:C47" si="3">IF(B43="Yes",2,IF(B43="Partial",1,IF(B43="No",0,"")))</f>
        <v/>
      </c>
      <c r="D43" s="27"/>
      <c r="E43" s="24"/>
      <c r="F43" s="24"/>
      <c r="G43" s="28"/>
      <c r="H43" s="29"/>
    </row>
    <row r="44" spans="1:8" ht="30.75" customHeight="1" x14ac:dyDescent="0.15">
      <c r="A44" s="21" t="s">
        <v>360</v>
      </c>
      <c r="B44" s="42"/>
      <c r="C44" s="47" t="str">
        <f t="shared" si="3"/>
        <v/>
      </c>
      <c r="D44" s="27"/>
      <c r="E44" s="24"/>
      <c r="F44" s="24"/>
      <c r="G44" s="28"/>
      <c r="H44" s="29"/>
    </row>
    <row r="45" spans="1:8" ht="30.75" customHeight="1" x14ac:dyDescent="0.15">
      <c r="A45" s="21" t="s">
        <v>361</v>
      </c>
      <c r="B45" s="42"/>
      <c r="C45" s="47" t="str">
        <f t="shared" si="3"/>
        <v/>
      </c>
      <c r="D45" s="27"/>
      <c r="E45" s="24"/>
      <c r="F45" s="24"/>
      <c r="G45" s="28"/>
      <c r="H45" s="29"/>
    </row>
    <row r="46" spans="1:8" ht="30.75" customHeight="1" x14ac:dyDescent="0.15">
      <c r="A46" s="21" t="s">
        <v>362</v>
      </c>
      <c r="B46" s="42"/>
      <c r="C46" s="47" t="str">
        <f t="shared" si="3"/>
        <v/>
      </c>
      <c r="D46" s="27"/>
      <c r="E46" s="24"/>
      <c r="F46" s="24"/>
      <c r="G46" s="28"/>
      <c r="H46" s="29"/>
    </row>
    <row r="47" spans="1:8" ht="30.75" customHeight="1" x14ac:dyDescent="0.15">
      <c r="A47" s="21" t="s">
        <v>363</v>
      </c>
      <c r="B47" s="42"/>
      <c r="C47" s="47" t="str">
        <f t="shared" si="3"/>
        <v/>
      </c>
      <c r="D47" s="27"/>
      <c r="E47" s="24"/>
      <c r="F47" s="24"/>
      <c r="G47" s="28"/>
      <c r="H47" s="29"/>
    </row>
    <row r="48" spans="1:8" ht="30.75" customHeight="1" x14ac:dyDescent="0.15">
      <c r="A48" s="16" t="s">
        <v>286</v>
      </c>
      <c r="B48" s="19"/>
      <c r="C48" s="19"/>
      <c r="D48" s="17"/>
      <c r="E48" s="19"/>
      <c r="F48" s="19"/>
      <c r="G48" s="17"/>
      <c r="H48" s="30"/>
    </row>
    <row r="49" spans="1:8" ht="30.75" customHeight="1" x14ac:dyDescent="0.15">
      <c r="A49" s="21" t="s">
        <v>364</v>
      </c>
      <c r="B49" s="42"/>
      <c r="C49" s="47" t="str">
        <f t="shared" ref="C49:C53" si="4">IF(B49="Yes",2,IF(B49="Partial",1,IF(B49="No",0,"")))</f>
        <v/>
      </c>
      <c r="D49" s="27"/>
      <c r="E49" s="24"/>
      <c r="F49" s="24"/>
      <c r="G49" s="28"/>
      <c r="H49" s="29"/>
    </row>
    <row r="50" spans="1:8" ht="30.75" customHeight="1" x14ac:dyDescent="0.15">
      <c r="A50" s="21" t="s">
        <v>365</v>
      </c>
      <c r="B50" s="42"/>
      <c r="C50" s="47" t="str">
        <f t="shared" si="4"/>
        <v/>
      </c>
      <c r="D50" s="27"/>
      <c r="E50" s="24"/>
      <c r="F50" s="24"/>
      <c r="G50" s="28"/>
      <c r="H50" s="29"/>
    </row>
    <row r="51" spans="1:8" ht="30.75" customHeight="1" x14ac:dyDescent="0.15">
      <c r="A51" s="21" t="s">
        <v>366</v>
      </c>
      <c r="B51" s="42"/>
      <c r="C51" s="47" t="str">
        <f t="shared" si="4"/>
        <v/>
      </c>
      <c r="D51" s="27"/>
      <c r="E51" s="24"/>
      <c r="F51" s="24"/>
      <c r="G51" s="28"/>
      <c r="H51" s="29"/>
    </row>
    <row r="52" spans="1:8" ht="30.75" customHeight="1" x14ac:dyDescent="0.15">
      <c r="A52" s="21" t="s">
        <v>367</v>
      </c>
      <c r="B52" s="42"/>
      <c r="C52" s="47" t="str">
        <f t="shared" si="4"/>
        <v/>
      </c>
      <c r="D52" s="27"/>
      <c r="E52" s="24"/>
      <c r="F52" s="24"/>
      <c r="G52" s="28"/>
      <c r="H52" s="29"/>
    </row>
    <row r="53" spans="1:8" ht="30.75" customHeight="1" x14ac:dyDescent="0.15">
      <c r="A53" s="21" t="s">
        <v>368</v>
      </c>
      <c r="B53" s="42"/>
      <c r="C53" s="47" t="str">
        <f t="shared" si="4"/>
        <v/>
      </c>
      <c r="D53" s="27"/>
      <c r="E53" s="24"/>
      <c r="F53" s="24"/>
      <c r="G53" s="28"/>
      <c r="H53" s="29"/>
    </row>
    <row r="54" spans="1:8" ht="30.75" customHeight="1" x14ac:dyDescent="0.15">
      <c r="A54" s="13" t="s">
        <v>287</v>
      </c>
      <c r="B54" s="31"/>
      <c r="C54" s="31"/>
      <c r="D54" s="14"/>
      <c r="E54" s="31"/>
      <c r="F54" s="31"/>
      <c r="G54" s="14"/>
      <c r="H54" s="15"/>
    </row>
    <row r="55" spans="1:8" ht="30.75" customHeight="1" x14ac:dyDescent="0.15">
      <c r="A55" s="16" t="s">
        <v>288</v>
      </c>
      <c r="B55" s="32"/>
      <c r="C55" s="32"/>
      <c r="D55" s="33"/>
      <c r="E55" s="32"/>
      <c r="F55" s="32"/>
      <c r="G55" s="33"/>
      <c r="H55" s="34"/>
    </row>
    <row r="56" spans="1:8" ht="30.75" customHeight="1" x14ac:dyDescent="0.15">
      <c r="A56" s="21" t="s">
        <v>369</v>
      </c>
      <c r="B56" s="42"/>
      <c r="C56" s="47" t="str">
        <f t="shared" ref="C56:C60" si="5">IF(B56="Yes",2,IF(B56="Partial",1,IF(B56="No",0,"")))</f>
        <v/>
      </c>
      <c r="D56" s="27"/>
      <c r="E56" s="24"/>
      <c r="F56" s="24"/>
      <c r="G56" s="28"/>
      <c r="H56" s="29"/>
    </row>
    <row r="57" spans="1:8" ht="30.75" customHeight="1" x14ac:dyDescent="0.15">
      <c r="A57" s="21" t="s">
        <v>370</v>
      </c>
      <c r="B57" s="42"/>
      <c r="C57" s="47" t="str">
        <f t="shared" si="5"/>
        <v/>
      </c>
      <c r="D57" s="27"/>
      <c r="E57" s="24"/>
      <c r="F57" s="24"/>
      <c r="G57" s="28"/>
      <c r="H57" s="29"/>
    </row>
    <row r="58" spans="1:8" ht="30.75" customHeight="1" x14ac:dyDescent="0.15">
      <c r="A58" s="21" t="s">
        <v>371</v>
      </c>
      <c r="B58" s="42"/>
      <c r="C58" s="47" t="str">
        <f t="shared" si="5"/>
        <v/>
      </c>
      <c r="D58" s="27"/>
      <c r="E58" s="24"/>
      <c r="F58" s="24"/>
      <c r="G58" s="28"/>
      <c r="H58" s="29"/>
    </row>
    <row r="59" spans="1:8" ht="30.75" customHeight="1" x14ac:dyDescent="0.15">
      <c r="A59" s="21" t="s">
        <v>372</v>
      </c>
      <c r="B59" s="42"/>
      <c r="C59" s="47" t="str">
        <f t="shared" si="5"/>
        <v/>
      </c>
      <c r="D59" s="27"/>
      <c r="E59" s="24"/>
      <c r="F59" s="24"/>
      <c r="G59" s="28"/>
      <c r="H59" s="29"/>
    </row>
    <row r="60" spans="1:8" ht="30.75" customHeight="1" x14ac:dyDescent="0.15">
      <c r="A60" s="21" t="s">
        <v>373</v>
      </c>
      <c r="B60" s="42"/>
      <c r="C60" s="47" t="str">
        <f t="shared" si="5"/>
        <v/>
      </c>
      <c r="D60" s="27"/>
      <c r="E60" s="24"/>
      <c r="F60" s="24"/>
      <c r="G60" s="28"/>
      <c r="H60" s="29"/>
    </row>
    <row r="61" spans="1:8" ht="30.75" customHeight="1" x14ac:dyDescent="0.15">
      <c r="A61" s="16" t="s">
        <v>289</v>
      </c>
      <c r="B61" s="32"/>
      <c r="C61" s="32"/>
      <c r="D61" s="33"/>
      <c r="E61" s="32"/>
      <c r="F61" s="32"/>
      <c r="G61" s="33"/>
      <c r="H61" s="34"/>
    </row>
    <row r="62" spans="1:8" ht="30.75" customHeight="1" x14ac:dyDescent="0.15">
      <c r="A62" s="21" t="s">
        <v>374</v>
      </c>
      <c r="B62" s="42"/>
      <c r="C62" s="47" t="str">
        <f t="shared" ref="C62:C66" si="6">IF(B62="Yes",2,IF(B62="Partial",1,IF(B62="No",0,"")))</f>
        <v/>
      </c>
      <c r="D62" s="27"/>
      <c r="E62" s="24"/>
      <c r="F62" s="24"/>
      <c r="G62" s="28"/>
      <c r="H62" s="29"/>
    </row>
    <row r="63" spans="1:8" ht="30.75" customHeight="1" x14ac:dyDescent="0.15">
      <c r="A63" s="21" t="s">
        <v>375</v>
      </c>
      <c r="B63" s="42"/>
      <c r="C63" s="47" t="str">
        <f t="shared" si="6"/>
        <v/>
      </c>
      <c r="D63" s="27"/>
      <c r="E63" s="24"/>
      <c r="F63" s="24"/>
      <c r="G63" s="28"/>
      <c r="H63" s="29"/>
    </row>
    <row r="64" spans="1:8" ht="30.75" customHeight="1" x14ac:dyDescent="0.15">
      <c r="A64" s="21" t="s">
        <v>376</v>
      </c>
      <c r="B64" s="42"/>
      <c r="C64" s="47" t="str">
        <f t="shared" si="6"/>
        <v/>
      </c>
      <c r="D64" s="27"/>
      <c r="E64" s="24"/>
      <c r="F64" s="24"/>
      <c r="G64" s="28"/>
      <c r="H64" s="29"/>
    </row>
    <row r="65" spans="1:8" ht="30.75" customHeight="1" x14ac:dyDescent="0.15">
      <c r="A65" s="21" t="s">
        <v>377</v>
      </c>
      <c r="B65" s="42"/>
      <c r="C65" s="47" t="str">
        <f t="shared" si="6"/>
        <v/>
      </c>
      <c r="D65" s="27"/>
      <c r="E65" s="24"/>
      <c r="F65" s="24"/>
      <c r="G65" s="28"/>
      <c r="H65" s="29"/>
    </row>
    <row r="66" spans="1:8" ht="30.75" customHeight="1" x14ac:dyDescent="0.15">
      <c r="A66" s="21" t="s">
        <v>378</v>
      </c>
      <c r="B66" s="42"/>
      <c r="C66" s="47" t="str">
        <f t="shared" si="6"/>
        <v/>
      </c>
      <c r="D66" s="27"/>
      <c r="E66" s="24"/>
      <c r="F66" s="24"/>
      <c r="G66" s="28"/>
      <c r="H66" s="29"/>
    </row>
    <row r="67" spans="1:8" ht="30.75" customHeight="1" x14ac:dyDescent="0.15">
      <c r="A67" s="16" t="s">
        <v>290</v>
      </c>
      <c r="B67" s="32"/>
      <c r="C67" s="32"/>
      <c r="D67" s="33"/>
      <c r="E67" s="32"/>
      <c r="F67" s="32"/>
      <c r="G67" s="33"/>
      <c r="H67" s="34"/>
    </row>
    <row r="68" spans="1:8" ht="30.75" customHeight="1" x14ac:dyDescent="0.15">
      <c r="A68" s="21" t="s">
        <v>379</v>
      </c>
      <c r="B68" s="42"/>
      <c r="C68" s="47" t="str">
        <f t="shared" ref="C68:C72" si="7">IF(B68="Yes",2,IF(B68="Partial",1,IF(B68="No",0,"")))</f>
        <v/>
      </c>
      <c r="D68" s="27"/>
      <c r="E68" s="24"/>
      <c r="F68" s="24"/>
      <c r="G68" s="28"/>
      <c r="H68" s="29"/>
    </row>
    <row r="69" spans="1:8" ht="30.75" customHeight="1" x14ac:dyDescent="0.15">
      <c r="A69" s="21" t="s">
        <v>380</v>
      </c>
      <c r="B69" s="42"/>
      <c r="C69" s="47" t="str">
        <f t="shared" si="7"/>
        <v/>
      </c>
      <c r="D69" s="27"/>
      <c r="E69" s="24"/>
      <c r="F69" s="24"/>
      <c r="G69" s="28"/>
      <c r="H69" s="29"/>
    </row>
    <row r="70" spans="1:8" ht="30.75" customHeight="1" x14ac:dyDescent="0.15">
      <c r="A70" s="21" t="s">
        <v>381</v>
      </c>
      <c r="B70" s="42"/>
      <c r="C70" s="47" t="str">
        <f t="shared" si="7"/>
        <v/>
      </c>
      <c r="D70" s="27"/>
      <c r="E70" s="24"/>
      <c r="F70" s="24"/>
      <c r="G70" s="28"/>
      <c r="H70" s="29"/>
    </row>
    <row r="71" spans="1:8" ht="30.75" customHeight="1" x14ac:dyDescent="0.15">
      <c r="A71" s="21" t="s">
        <v>382</v>
      </c>
      <c r="B71" s="42"/>
      <c r="C71" s="47" t="str">
        <f t="shared" si="7"/>
        <v/>
      </c>
      <c r="D71" s="27"/>
      <c r="E71" s="24"/>
      <c r="F71" s="24"/>
      <c r="G71" s="28"/>
      <c r="H71" s="29"/>
    </row>
    <row r="72" spans="1:8" ht="30.75" customHeight="1" x14ac:dyDescent="0.15">
      <c r="A72" s="21" t="s">
        <v>383</v>
      </c>
      <c r="B72" s="42"/>
      <c r="C72" s="47" t="str">
        <f t="shared" si="7"/>
        <v/>
      </c>
      <c r="D72" s="27"/>
      <c r="E72" s="24"/>
      <c r="F72" s="24"/>
      <c r="G72" s="28"/>
      <c r="H72" s="29"/>
    </row>
    <row r="73" spans="1:8" ht="30.75" customHeight="1" x14ac:dyDescent="0.15">
      <c r="A73" s="16" t="s">
        <v>291</v>
      </c>
      <c r="B73" s="32"/>
      <c r="C73" s="32"/>
      <c r="D73" s="33"/>
      <c r="E73" s="32"/>
      <c r="F73" s="32"/>
      <c r="G73" s="33"/>
      <c r="H73" s="34"/>
    </row>
    <row r="74" spans="1:8" ht="30.75" customHeight="1" x14ac:dyDescent="0.15">
      <c r="A74" s="21" t="s">
        <v>384</v>
      </c>
      <c r="B74" s="42"/>
      <c r="C74" s="47" t="str">
        <f t="shared" ref="C74:C78" si="8">IF(B74="Yes",2,IF(B74="Partial",1,IF(B74="No",0,"")))</f>
        <v/>
      </c>
      <c r="D74" s="27"/>
      <c r="E74" s="24"/>
      <c r="F74" s="24"/>
      <c r="G74" s="28"/>
      <c r="H74" s="29"/>
    </row>
    <row r="75" spans="1:8" ht="30.75" customHeight="1" x14ac:dyDescent="0.15">
      <c r="A75" s="21" t="s">
        <v>385</v>
      </c>
      <c r="B75" s="42"/>
      <c r="C75" s="47" t="str">
        <f t="shared" si="8"/>
        <v/>
      </c>
      <c r="D75" s="27"/>
      <c r="E75" s="24"/>
      <c r="F75" s="24"/>
      <c r="G75" s="28"/>
      <c r="H75" s="29"/>
    </row>
    <row r="76" spans="1:8" ht="30.75" customHeight="1" x14ac:dyDescent="0.15">
      <c r="A76" s="21" t="s">
        <v>386</v>
      </c>
      <c r="B76" s="42"/>
      <c r="C76" s="47" t="str">
        <f t="shared" si="8"/>
        <v/>
      </c>
      <c r="D76" s="27"/>
      <c r="E76" s="24"/>
      <c r="F76" s="24"/>
      <c r="G76" s="28"/>
      <c r="H76" s="29"/>
    </row>
    <row r="77" spans="1:8" ht="30.75" customHeight="1" x14ac:dyDescent="0.15">
      <c r="A77" s="21" t="s">
        <v>387</v>
      </c>
      <c r="B77" s="42"/>
      <c r="C77" s="47" t="str">
        <f t="shared" si="8"/>
        <v/>
      </c>
      <c r="D77" s="27"/>
      <c r="E77" s="24"/>
      <c r="F77" s="24"/>
      <c r="G77" s="28"/>
      <c r="H77" s="29"/>
    </row>
    <row r="78" spans="1:8" ht="30.75" customHeight="1" x14ac:dyDescent="0.15">
      <c r="A78" s="21" t="s">
        <v>388</v>
      </c>
      <c r="B78" s="42"/>
      <c r="C78" s="47" t="str">
        <f t="shared" si="8"/>
        <v/>
      </c>
      <c r="D78" s="27"/>
      <c r="E78" s="24"/>
      <c r="F78" s="24"/>
      <c r="G78" s="28"/>
      <c r="H78" s="29"/>
    </row>
    <row r="79" spans="1:8" ht="30.75" customHeight="1" x14ac:dyDescent="0.15">
      <c r="A79" s="13" t="s">
        <v>292</v>
      </c>
      <c r="B79" s="31"/>
      <c r="C79" s="31"/>
      <c r="D79" s="14"/>
      <c r="E79" s="31"/>
      <c r="F79" s="31"/>
      <c r="G79" s="14"/>
      <c r="H79" s="15"/>
    </row>
    <row r="80" spans="1:8" ht="30.75" customHeight="1" x14ac:dyDescent="0.15">
      <c r="A80" s="16" t="s">
        <v>293</v>
      </c>
      <c r="B80" s="32"/>
      <c r="C80" s="32"/>
      <c r="D80" s="33"/>
      <c r="E80" s="32"/>
      <c r="F80" s="32"/>
      <c r="G80" s="33"/>
      <c r="H80" s="34"/>
    </row>
    <row r="81" spans="1:8" ht="30.75" customHeight="1" x14ac:dyDescent="0.15">
      <c r="A81" s="21" t="s">
        <v>389</v>
      </c>
      <c r="B81" s="42"/>
      <c r="C81" s="47" t="str">
        <f t="shared" ref="C81:C85" si="9">IF(B81="Yes",2,IF(B81="Partial",1,IF(B81="No",0,"")))</f>
        <v/>
      </c>
      <c r="D81" s="27"/>
      <c r="E81" s="24"/>
      <c r="F81" s="24"/>
      <c r="G81" s="28"/>
      <c r="H81" s="29"/>
    </row>
    <row r="82" spans="1:8" ht="30.75" customHeight="1" x14ac:dyDescent="0.15">
      <c r="A82" s="21" t="s">
        <v>390</v>
      </c>
      <c r="B82" s="42"/>
      <c r="C82" s="47" t="str">
        <f t="shared" si="9"/>
        <v/>
      </c>
      <c r="D82" s="27"/>
      <c r="E82" s="24"/>
      <c r="F82" s="24"/>
      <c r="G82" s="28"/>
      <c r="H82" s="29"/>
    </row>
    <row r="83" spans="1:8" ht="30.75" customHeight="1" x14ac:dyDescent="0.15">
      <c r="A83" s="21" t="s">
        <v>391</v>
      </c>
      <c r="B83" s="42"/>
      <c r="C83" s="47" t="str">
        <f t="shared" si="9"/>
        <v/>
      </c>
      <c r="D83" s="27"/>
      <c r="E83" s="24"/>
      <c r="F83" s="24"/>
      <c r="G83" s="28"/>
      <c r="H83" s="29"/>
    </row>
    <row r="84" spans="1:8" ht="30.75" customHeight="1" x14ac:dyDescent="0.15">
      <c r="A84" s="21" t="s">
        <v>392</v>
      </c>
      <c r="B84" s="42"/>
      <c r="C84" s="47" t="str">
        <f t="shared" si="9"/>
        <v/>
      </c>
      <c r="D84" s="27"/>
      <c r="E84" s="24"/>
      <c r="F84" s="24"/>
      <c r="G84" s="28"/>
      <c r="H84" s="29"/>
    </row>
    <row r="85" spans="1:8" ht="30.75" customHeight="1" x14ac:dyDescent="0.15">
      <c r="A85" s="21" t="s">
        <v>393</v>
      </c>
      <c r="B85" s="42"/>
      <c r="C85" s="47" t="str">
        <f t="shared" si="9"/>
        <v/>
      </c>
      <c r="D85" s="27"/>
      <c r="E85" s="24"/>
      <c r="F85" s="24"/>
      <c r="G85" s="28"/>
      <c r="H85" s="29"/>
    </row>
    <row r="86" spans="1:8" ht="30.75" customHeight="1" x14ac:dyDescent="0.15">
      <c r="A86" s="16" t="s">
        <v>294</v>
      </c>
      <c r="B86" s="19"/>
      <c r="C86" s="19"/>
      <c r="D86" s="17"/>
      <c r="E86" s="19"/>
      <c r="F86" s="19"/>
      <c r="G86" s="17"/>
      <c r="H86" s="30"/>
    </row>
    <row r="87" spans="1:8" ht="30.75" customHeight="1" x14ac:dyDescent="0.15">
      <c r="A87" s="21" t="s">
        <v>399</v>
      </c>
      <c r="B87" s="42"/>
      <c r="C87" s="47" t="str">
        <f t="shared" ref="C87:C91" si="10">IF(B87="Yes",2,IF(B87="Partial",1,IF(B87="No",0,"")))</f>
        <v/>
      </c>
      <c r="D87" s="27"/>
      <c r="E87" s="24"/>
      <c r="F87" s="24"/>
      <c r="G87" s="28"/>
      <c r="H87" s="29"/>
    </row>
    <row r="88" spans="1:8" ht="30.75" customHeight="1" x14ac:dyDescent="0.15">
      <c r="A88" s="21" t="s">
        <v>400</v>
      </c>
      <c r="B88" s="42"/>
      <c r="C88" s="47" t="str">
        <f t="shared" si="10"/>
        <v/>
      </c>
      <c r="D88" s="27"/>
      <c r="E88" s="24"/>
      <c r="F88" s="24"/>
      <c r="G88" s="28"/>
      <c r="H88" s="29"/>
    </row>
    <row r="89" spans="1:8" ht="30.75" customHeight="1" x14ac:dyDescent="0.15">
      <c r="A89" s="21" t="s">
        <v>401</v>
      </c>
      <c r="B89" s="42"/>
      <c r="C89" s="47" t="str">
        <f t="shared" si="10"/>
        <v/>
      </c>
      <c r="D89" s="27"/>
      <c r="E89" s="24"/>
      <c r="F89" s="24"/>
      <c r="G89" s="28"/>
      <c r="H89" s="29"/>
    </row>
    <row r="90" spans="1:8" ht="30.75" customHeight="1" x14ac:dyDescent="0.15">
      <c r="A90" s="21" t="s">
        <v>402</v>
      </c>
      <c r="B90" s="42"/>
      <c r="C90" s="47" t="str">
        <f t="shared" si="10"/>
        <v/>
      </c>
      <c r="D90" s="27"/>
      <c r="E90" s="24"/>
      <c r="F90" s="24"/>
      <c r="G90" s="28"/>
      <c r="H90" s="29"/>
    </row>
    <row r="91" spans="1:8" ht="30.75" customHeight="1" x14ac:dyDescent="0.15">
      <c r="A91" s="21" t="s">
        <v>403</v>
      </c>
      <c r="B91" s="42"/>
      <c r="C91" s="47" t="str">
        <f t="shared" si="10"/>
        <v/>
      </c>
      <c r="D91" s="27"/>
      <c r="E91" s="24"/>
      <c r="F91" s="24"/>
      <c r="G91" s="28"/>
      <c r="H91" s="29"/>
    </row>
    <row r="92" spans="1:8" ht="30.75" customHeight="1" x14ac:dyDescent="0.15">
      <c r="A92" s="16" t="s">
        <v>295</v>
      </c>
      <c r="B92" s="19"/>
      <c r="C92" s="19"/>
      <c r="D92" s="17"/>
      <c r="E92" s="19"/>
      <c r="F92" s="19"/>
      <c r="G92" s="17"/>
      <c r="H92" s="30"/>
    </row>
    <row r="93" spans="1:8" ht="30.75" customHeight="1" x14ac:dyDescent="0.15">
      <c r="A93" s="21" t="s">
        <v>404</v>
      </c>
      <c r="B93" s="42"/>
      <c r="C93" s="47" t="str">
        <f t="shared" ref="C93:C97" si="11">IF(B93="Yes",2,IF(B93="Partial",1,IF(B93="No",0,"")))</f>
        <v/>
      </c>
      <c r="D93" s="27"/>
      <c r="E93" s="24"/>
      <c r="F93" s="24"/>
      <c r="G93" s="28"/>
      <c r="H93" s="29"/>
    </row>
    <row r="94" spans="1:8" ht="30.75" customHeight="1" x14ac:dyDescent="0.15">
      <c r="A94" s="21" t="s">
        <v>405</v>
      </c>
      <c r="B94" s="42"/>
      <c r="C94" s="47" t="str">
        <f t="shared" si="11"/>
        <v/>
      </c>
      <c r="D94" s="27"/>
      <c r="E94" s="24"/>
      <c r="F94" s="24"/>
      <c r="G94" s="28"/>
      <c r="H94" s="29"/>
    </row>
    <row r="95" spans="1:8" ht="30.75" customHeight="1" x14ac:dyDescent="0.15">
      <c r="A95" s="21" t="s">
        <v>406</v>
      </c>
      <c r="B95" s="42"/>
      <c r="C95" s="47" t="str">
        <f t="shared" si="11"/>
        <v/>
      </c>
      <c r="D95" s="27"/>
      <c r="E95" s="24"/>
      <c r="F95" s="24"/>
      <c r="G95" s="28"/>
      <c r="H95" s="29"/>
    </row>
    <row r="96" spans="1:8" ht="30.75" customHeight="1" x14ac:dyDescent="0.15">
      <c r="A96" s="21" t="s">
        <v>407</v>
      </c>
      <c r="B96" s="42"/>
      <c r="C96" s="47" t="str">
        <f t="shared" si="11"/>
        <v/>
      </c>
      <c r="D96" s="27"/>
      <c r="E96" s="24"/>
      <c r="F96" s="24"/>
      <c r="G96" s="28"/>
      <c r="H96" s="29"/>
    </row>
    <row r="97" spans="1:8" ht="30.75" customHeight="1" x14ac:dyDescent="0.15">
      <c r="A97" s="21" t="s">
        <v>408</v>
      </c>
      <c r="B97" s="42"/>
      <c r="C97" s="47" t="str">
        <f t="shared" si="11"/>
        <v/>
      </c>
      <c r="D97" s="27"/>
      <c r="E97" s="24"/>
      <c r="F97" s="24"/>
      <c r="G97" s="28"/>
      <c r="H97" s="29"/>
    </row>
    <row r="98" spans="1:8" ht="30.75" customHeight="1" x14ac:dyDescent="0.15">
      <c r="A98" s="16" t="s">
        <v>296</v>
      </c>
      <c r="B98" s="19"/>
      <c r="C98" s="19"/>
      <c r="D98" s="17"/>
      <c r="E98" s="19"/>
      <c r="F98" s="19"/>
      <c r="G98" s="17"/>
      <c r="H98" s="30"/>
    </row>
    <row r="99" spans="1:8" ht="30.75" customHeight="1" x14ac:dyDescent="0.15">
      <c r="A99" s="21" t="s">
        <v>409</v>
      </c>
      <c r="B99" s="42"/>
      <c r="C99" s="47" t="str">
        <f t="shared" ref="C99:C103" si="12">IF(B99="Yes",2,IF(B99="Partial",1,IF(B99="No",0,"")))</f>
        <v/>
      </c>
      <c r="D99" s="27"/>
      <c r="E99" s="24"/>
      <c r="F99" s="24"/>
      <c r="G99" s="28"/>
      <c r="H99" s="29"/>
    </row>
    <row r="100" spans="1:8" ht="30.75" customHeight="1" x14ac:dyDescent="0.15">
      <c r="A100" s="21" t="s">
        <v>410</v>
      </c>
      <c r="B100" s="42"/>
      <c r="C100" s="47" t="str">
        <f t="shared" si="12"/>
        <v/>
      </c>
      <c r="D100" s="27"/>
      <c r="E100" s="24"/>
      <c r="F100" s="24"/>
      <c r="G100" s="28"/>
      <c r="H100" s="29"/>
    </row>
    <row r="101" spans="1:8" ht="30.75" customHeight="1" x14ac:dyDescent="0.15">
      <c r="A101" s="21" t="s">
        <v>411</v>
      </c>
      <c r="B101" s="42"/>
      <c r="C101" s="47" t="str">
        <f t="shared" si="12"/>
        <v/>
      </c>
      <c r="D101" s="27"/>
      <c r="E101" s="24"/>
      <c r="F101" s="24"/>
      <c r="G101" s="28"/>
      <c r="H101" s="29"/>
    </row>
    <row r="102" spans="1:8" ht="30.75" customHeight="1" x14ac:dyDescent="0.15">
      <c r="A102" s="21" t="s">
        <v>412</v>
      </c>
      <c r="B102" s="42"/>
      <c r="C102" s="47" t="str">
        <f t="shared" si="12"/>
        <v/>
      </c>
      <c r="D102" s="27"/>
      <c r="E102" s="24"/>
      <c r="F102" s="24"/>
      <c r="G102" s="28"/>
      <c r="H102" s="29"/>
    </row>
    <row r="103" spans="1:8" ht="30.75" customHeight="1" x14ac:dyDescent="0.15">
      <c r="A103" s="21" t="s">
        <v>413</v>
      </c>
      <c r="B103" s="42"/>
      <c r="C103" s="47" t="str">
        <f t="shared" si="12"/>
        <v/>
      </c>
      <c r="D103" s="27"/>
      <c r="E103" s="24"/>
      <c r="F103" s="24"/>
      <c r="G103" s="28"/>
      <c r="H103" s="29"/>
    </row>
    <row r="104" spans="1:8" ht="30.75" customHeight="1" x14ac:dyDescent="0.15">
      <c r="A104" s="13" t="s">
        <v>297</v>
      </c>
      <c r="B104" s="31"/>
      <c r="C104" s="31"/>
      <c r="D104" s="14"/>
      <c r="E104" s="31"/>
      <c r="F104" s="31"/>
      <c r="G104" s="14"/>
      <c r="H104" s="15"/>
    </row>
    <row r="105" spans="1:8" ht="30.75" customHeight="1" x14ac:dyDescent="0.15">
      <c r="A105" s="16" t="s">
        <v>298</v>
      </c>
      <c r="B105" s="32"/>
      <c r="C105" s="32"/>
      <c r="D105" s="33"/>
      <c r="E105" s="32"/>
      <c r="F105" s="32"/>
      <c r="G105" s="33"/>
      <c r="H105" s="34"/>
    </row>
    <row r="106" spans="1:8" ht="30.75" customHeight="1" x14ac:dyDescent="0.15">
      <c r="A106" s="21" t="s">
        <v>414</v>
      </c>
      <c r="B106" s="42"/>
      <c r="C106" s="47" t="str">
        <f t="shared" ref="C106:C110" si="13">IF(B106="Yes",2,IF(B106="Partial",1,IF(B106="No",0,"")))</f>
        <v/>
      </c>
      <c r="D106" s="27"/>
      <c r="E106" s="24"/>
      <c r="F106" s="24"/>
      <c r="G106" s="28"/>
      <c r="H106" s="29"/>
    </row>
    <row r="107" spans="1:8" ht="30.75" customHeight="1" x14ac:dyDescent="0.15">
      <c r="A107" s="21" t="s">
        <v>415</v>
      </c>
      <c r="B107" s="42"/>
      <c r="C107" s="47" t="str">
        <f t="shared" si="13"/>
        <v/>
      </c>
      <c r="D107" s="27"/>
      <c r="E107" s="24"/>
      <c r="F107" s="24"/>
      <c r="G107" s="28"/>
      <c r="H107" s="29"/>
    </row>
    <row r="108" spans="1:8" ht="30.75" customHeight="1" x14ac:dyDescent="0.15">
      <c r="A108" s="21" t="s">
        <v>416</v>
      </c>
      <c r="B108" s="42"/>
      <c r="C108" s="47" t="str">
        <f t="shared" si="13"/>
        <v/>
      </c>
      <c r="D108" s="27"/>
      <c r="E108" s="24"/>
      <c r="F108" s="24"/>
      <c r="G108" s="28"/>
      <c r="H108" s="29"/>
    </row>
    <row r="109" spans="1:8" ht="30.75" customHeight="1" x14ac:dyDescent="0.15">
      <c r="A109" s="21" t="s">
        <v>417</v>
      </c>
      <c r="B109" s="42"/>
      <c r="C109" s="47" t="str">
        <f t="shared" si="13"/>
        <v/>
      </c>
      <c r="D109" s="27"/>
      <c r="E109" s="24"/>
      <c r="F109" s="24"/>
      <c r="G109" s="28"/>
      <c r="H109" s="29"/>
    </row>
    <row r="110" spans="1:8" ht="30.75" customHeight="1" x14ac:dyDescent="0.15">
      <c r="A110" s="21" t="s">
        <v>418</v>
      </c>
      <c r="B110" s="42"/>
      <c r="C110" s="47" t="str">
        <f t="shared" si="13"/>
        <v/>
      </c>
      <c r="D110" s="27"/>
      <c r="E110" s="24"/>
      <c r="F110" s="24"/>
      <c r="G110" s="28"/>
      <c r="H110" s="29"/>
    </row>
    <row r="111" spans="1:8" ht="30.75" customHeight="1" x14ac:dyDescent="0.15">
      <c r="A111" s="16" t="s">
        <v>299</v>
      </c>
      <c r="B111" s="32"/>
      <c r="C111" s="32"/>
      <c r="D111" s="33"/>
      <c r="E111" s="32"/>
      <c r="F111" s="32"/>
      <c r="G111" s="33"/>
      <c r="H111" s="34"/>
    </row>
    <row r="112" spans="1:8" ht="30.75" customHeight="1" x14ac:dyDescent="0.15">
      <c r="A112" s="21" t="s">
        <v>419</v>
      </c>
      <c r="B112" s="42"/>
      <c r="C112" s="47" t="str">
        <f t="shared" ref="C112:C116" si="14">IF(B112="Yes",2,IF(B112="Partial",1,IF(B112="No",0,"")))</f>
        <v/>
      </c>
      <c r="D112" s="27"/>
      <c r="E112" s="24"/>
      <c r="F112" s="24"/>
      <c r="G112" s="28"/>
      <c r="H112" s="29"/>
    </row>
    <row r="113" spans="1:8" ht="30.75" customHeight="1" x14ac:dyDescent="0.15">
      <c r="A113" s="21" t="s">
        <v>420</v>
      </c>
      <c r="B113" s="42"/>
      <c r="C113" s="47" t="str">
        <f t="shared" si="14"/>
        <v/>
      </c>
      <c r="D113" s="27"/>
      <c r="E113" s="24"/>
      <c r="F113" s="24"/>
      <c r="G113" s="28"/>
      <c r="H113" s="29"/>
    </row>
    <row r="114" spans="1:8" ht="30.75" customHeight="1" x14ac:dyDescent="0.15">
      <c r="A114" s="21" t="s">
        <v>421</v>
      </c>
      <c r="B114" s="42"/>
      <c r="C114" s="47" t="str">
        <f t="shared" si="14"/>
        <v/>
      </c>
      <c r="D114" s="27"/>
      <c r="E114" s="24"/>
      <c r="F114" s="24"/>
      <c r="G114" s="28"/>
      <c r="H114" s="29"/>
    </row>
    <row r="115" spans="1:8" ht="30.75" customHeight="1" x14ac:dyDescent="0.15">
      <c r="A115" s="21" t="s">
        <v>422</v>
      </c>
      <c r="B115" s="42"/>
      <c r="C115" s="47" t="str">
        <f t="shared" si="14"/>
        <v/>
      </c>
      <c r="D115" s="27"/>
      <c r="E115" s="24"/>
      <c r="F115" s="24"/>
      <c r="G115" s="28"/>
      <c r="H115" s="29"/>
    </row>
    <row r="116" spans="1:8" ht="30.75" customHeight="1" x14ac:dyDescent="0.15">
      <c r="A116" s="21" t="s">
        <v>423</v>
      </c>
      <c r="B116" s="42"/>
      <c r="C116" s="47" t="str">
        <f t="shared" si="14"/>
        <v/>
      </c>
      <c r="D116" s="27"/>
      <c r="E116" s="24"/>
      <c r="F116" s="24"/>
      <c r="G116" s="28"/>
      <c r="H116" s="29"/>
    </row>
    <row r="117" spans="1:8" ht="30.75" customHeight="1" x14ac:dyDescent="0.15">
      <c r="A117" s="16" t="s">
        <v>300</v>
      </c>
      <c r="B117" s="32"/>
      <c r="C117" s="32"/>
      <c r="D117" s="33"/>
      <c r="E117" s="32"/>
      <c r="F117" s="32"/>
      <c r="G117" s="33"/>
      <c r="H117" s="34"/>
    </row>
    <row r="118" spans="1:8" ht="30.75" customHeight="1" x14ac:dyDescent="0.15">
      <c r="A118" s="21" t="s">
        <v>424</v>
      </c>
      <c r="B118" s="42"/>
      <c r="C118" s="47" t="str">
        <f t="shared" ref="C118:C128" si="15">IF(B118="Yes",2,IF(B118="Partial",1,IF(B118="No",0,"")))</f>
        <v/>
      </c>
      <c r="D118" s="27"/>
      <c r="E118" s="24"/>
      <c r="F118" s="24"/>
      <c r="G118" s="28"/>
      <c r="H118" s="29"/>
    </row>
    <row r="119" spans="1:8" ht="30.75" customHeight="1" x14ac:dyDescent="0.15">
      <c r="A119" s="21" t="s">
        <v>425</v>
      </c>
      <c r="B119" s="42"/>
      <c r="C119" s="47" t="str">
        <f t="shared" si="15"/>
        <v/>
      </c>
      <c r="D119" s="27"/>
      <c r="E119" s="24"/>
      <c r="F119" s="24"/>
      <c r="G119" s="28"/>
      <c r="H119" s="29"/>
    </row>
    <row r="120" spans="1:8" ht="30.75" customHeight="1" x14ac:dyDescent="0.15">
      <c r="A120" s="21" t="s">
        <v>426</v>
      </c>
      <c r="B120" s="42"/>
      <c r="C120" s="47" t="str">
        <f t="shared" si="15"/>
        <v/>
      </c>
      <c r="D120" s="27"/>
      <c r="E120" s="24"/>
      <c r="F120" s="24"/>
      <c r="G120" s="28"/>
      <c r="H120" s="29"/>
    </row>
    <row r="121" spans="1:8" ht="30.75" customHeight="1" x14ac:dyDescent="0.15">
      <c r="A121" s="21" t="s">
        <v>427</v>
      </c>
      <c r="B121" s="42"/>
      <c r="C121" s="47" t="str">
        <f t="shared" si="15"/>
        <v/>
      </c>
      <c r="D121" s="27"/>
      <c r="E121" s="24"/>
      <c r="F121" s="24"/>
      <c r="G121" s="28"/>
      <c r="H121" s="29"/>
    </row>
    <row r="122" spans="1:8" ht="30.75" customHeight="1" x14ac:dyDescent="0.15">
      <c r="A122" s="21" t="s">
        <v>428</v>
      </c>
      <c r="B122" s="42"/>
      <c r="C122" s="47" t="str">
        <f t="shared" si="15"/>
        <v/>
      </c>
      <c r="D122" s="27"/>
      <c r="E122" s="24"/>
      <c r="F122" s="24"/>
      <c r="G122" s="28"/>
      <c r="H122" s="29"/>
    </row>
    <row r="123" spans="1:8" ht="30.75" customHeight="1" x14ac:dyDescent="0.15">
      <c r="A123" s="16" t="s">
        <v>301</v>
      </c>
      <c r="B123" s="32"/>
      <c r="C123" s="32"/>
      <c r="D123" s="33"/>
      <c r="E123" s="32"/>
      <c r="F123" s="32"/>
      <c r="G123" s="33"/>
      <c r="H123" s="34"/>
    </row>
    <row r="124" spans="1:8" ht="30.75" customHeight="1" x14ac:dyDescent="0.15">
      <c r="A124" s="21" t="s">
        <v>429</v>
      </c>
      <c r="B124" s="42"/>
      <c r="C124" s="47" t="str">
        <f t="shared" si="15"/>
        <v/>
      </c>
      <c r="D124" s="27"/>
      <c r="E124" s="24"/>
      <c r="F124" s="24"/>
      <c r="G124" s="28"/>
      <c r="H124" s="29"/>
    </row>
    <row r="125" spans="1:8" ht="30.75" customHeight="1" x14ac:dyDescent="0.15">
      <c r="A125" s="21" t="s">
        <v>430</v>
      </c>
      <c r="B125" s="42"/>
      <c r="C125" s="47" t="str">
        <f t="shared" si="15"/>
        <v/>
      </c>
      <c r="D125" s="27"/>
      <c r="E125" s="24"/>
      <c r="F125" s="24"/>
      <c r="G125" s="28"/>
      <c r="H125" s="29"/>
    </row>
    <row r="126" spans="1:8" ht="30.75" customHeight="1" x14ac:dyDescent="0.15">
      <c r="A126" s="21" t="s">
        <v>431</v>
      </c>
      <c r="B126" s="42"/>
      <c r="C126" s="47" t="str">
        <f t="shared" si="15"/>
        <v/>
      </c>
      <c r="D126" s="27"/>
      <c r="E126" s="24"/>
      <c r="F126" s="24"/>
      <c r="G126" s="28"/>
      <c r="H126" s="29"/>
    </row>
    <row r="127" spans="1:8" ht="30.75" customHeight="1" x14ac:dyDescent="0.15">
      <c r="A127" s="21" t="s">
        <v>432</v>
      </c>
      <c r="B127" s="42"/>
      <c r="C127" s="47" t="str">
        <f t="shared" si="15"/>
        <v/>
      </c>
      <c r="D127" s="27"/>
      <c r="E127" s="24"/>
      <c r="F127" s="24"/>
      <c r="G127" s="28"/>
      <c r="H127" s="29"/>
    </row>
    <row r="128" spans="1:8" ht="30.75" customHeight="1" x14ac:dyDescent="0.15">
      <c r="A128" s="21" t="s">
        <v>433</v>
      </c>
      <c r="B128" s="42"/>
      <c r="C128" s="47" t="str">
        <f t="shared" si="15"/>
        <v/>
      </c>
      <c r="D128" s="27"/>
      <c r="E128" s="24"/>
      <c r="F128" s="24"/>
      <c r="G128" s="28"/>
      <c r="H128" s="29"/>
    </row>
    <row r="129" spans="1:8" ht="30.75" customHeight="1" x14ac:dyDescent="0.15">
      <c r="A129" s="13" t="s">
        <v>302</v>
      </c>
      <c r="B129" s="31"/>
      <c r="C129" s="31"/>
      <c r="D129" s="14"/>
      <c r="E129" s="31"/>
      <c r="F129" s="31"/>
      <c r="G129" s="14"/>
      <c r="H129" s="15"/>
    </row>
    <row r="130" spans="1:8" ht="30.75" customHeight="1" x14ac:dyDescent="0.15">
      <c r="A130" s="16" t="s">
        <v>303</v>
      </c>
      <c r="B130" s="32"/>
      <c r="C130" s="32"/>
      <c r="D130" s="33"/>
      <c r="E130" s="32"/>
      <c r="F130" s="32"/>
      <c r="G130" s="33"/>
      <c r="H130" s="34"/>
    </row>
    <row r="131" spans="1:8" ht="30.75" customHeight="1" x14ac:dyDescent="0.15">
      <c r="A131" s="21" t="s">
        <v>434</v>
      </c>
      <c r="B131" s="42"/>
      <c r="C131" s="47" t="str">
        <f t="shared" ref="C131:C135" si="16">IF(B131="Yes",2,IF(B131="Partial",1,IF(B131="No",0,"")))</f>
        <v/>
      </c>
      <c r="D131" s="27"/>
      <c r="E131" s="24"/>
      <c r="F131" s="24"/>
      <c r="G131" s="28"/>
      <c r="H131" s="29"/>
    </row>
    <row r="132" spans="1:8" ht="30.75" customHeight="1" x14ac:dyDescent="0.15">
      <c r="A132" s="21" t="s">
        <v>435</v>
      </c>
      <c r="B132" s="42"/>
      <c r="C132" s="47" t="str">
        <f t="shared" si="16"/>
        <v/>
      </c>
      <c r="D132" s="27"/>
      <c r="E132" s="24"/>
      <c r="F132" s="24"/>
      <c r="G132" s="28"/>
      <c r="H132" s="29"/>
    </row>
    <row r="133" spans="1:8" ht="30.75" customHeight="1" x14ac:dyDescent="0.15">
      <c r="A133" s="21" t="s">
        <v>436</v>
      </c>
      <c r="B133" s="42"/>
      <c r="C133" s="47" t="str">
        <f t="shared" si="16"/>
        <v/>
      </c>
      <c r="D133" s="27"/>
      <c r="E133" s="24"/>
      <c r="F133" s="24"/>
      <c r="G133" s="28"/>
      <c r="H133" s="29"/>
    </row>
    <row r="134" spans="1:8" ht="30.75" customHeight="1" x14ac:dyDescent="0.15">
      <c r="A134" s="21" t="s">
        <v>437</v>
      </c>
      <c r="B134" s="42"/>
      <c r="C134" s="47" t="str">
        <f t="shared" si="16"/>
        <v/>
      </c>
      <c r="D134" s="27"/>
      <c r="E134" s="24"/>
      <c r="F134" s="24"/>
      <c r="G134" s="28"/>
      <c r="H134" s="29"/>
    </row>
    <row r="135" spans="1:8" ht="30.75" customHeight="1" x14ac:dyDescent="0.15">
      <c r="A135" s="21" t="s">
        <v>438</v>
      </c>
      <c r="B135" s="42"/>
      <c r="C135" s="47" t="str">
        <f t="shared" si="16"/>
        <v/>
      </c>
      <c r="D135" s="27"/>
      <c r="E135" s="24"/>
      <c r="F135" s="24"/>
      <c r="G135" s="28"/>
      <c r="H135" s="29"/>
    </row>
    <row r="136" spans="1:8" ht="30.75" customHeight="1" x14ac:dyDescent="0.15">
      <c r="A136" s="16" t="s">
        <v>304</v>
      </c>
      <c r="B136" s="32"/>
      <c r="C136" s="32"/>
      <c r="D136" s="33"/>
      <c r="E136" s="32"/>
      <c r="F136" s="32"/>
      <c r="G136" s="33"/>
      <c r="H136" s="34"/>
    </row>
    <row r="137" spans="1:8" ht="30.75" customHeight="1" x14ac:dyDescent="0.15">
      <c r="A137" s="21" t="s">
        <v>439</v>
      </c>
      <c r="B137" s="42"/>
      <c r="C137" s="47" t="str">
        <f t="shared" ref="C137:C141" si="17">IF(B137="Yes",2,IF(B137="Partial",1,IF(B137="No",0,"")))</f>
        <v/>
      </c>
      <c r="D137" s="27"/>
      <c r="E137" s="24"/>
      <c r="F137" s="24"/>
      <c r="G137" s="28"/>
      <c r="H137" s="29"/>
    </row>
    <row r="138" spans="1:8" ht="30.75" customHeight="1" x14ac:dyDescent="0.15">
      <c r="A138" s="21" t="s">
        <v>440</v>
      </c>
      <c r="B138" s="42"/>
      <c r="C138" s="47" t="str">
        <f t="shared" si="17"/>
        <v/>
      </c>
      <c r="D138" s="27"/>
      <c r="E138" s="24"/>
      <c r="F138" s="24"/>
      <c r="G138" s="28"/>
      <c r="H138" s="29"/>
    </row>
    <row r="139" spans="1:8" ht="30.75" customHeight="1" x14ac:dyDescent="0.15">
      <c r="A139" s="21" t="s">
        <v>441</v>
      </c>
      <c r="B139" s="42"/>
      <c r="C139" s="47" t="str">
        <f t="shared" si="17"/>
        <v/>
      </c>
      <c r="D139" s="27"/>
      <c r="E139" s="24"/>
      <c r="F139" s="24"/>
      <c r="G139" s="28"/>
      <c r="H139" s="29"/>
    </row>
    <row r="140" spans="1:8" ht="30.75" customHeight="1" x14ac:dyDescent="0.15">
      <c r="A140" s="21" t="s">
        <v>442</v>
      </c>
      <c r="B140" s="42"/>
      <c r="C140" s="47" t="str">
        <f t="shared" si="17"/>
        <v/>
      </c>
      <c r="D140" s="27"/>
      <c r="E140" s="24"/>
      <c r="F140" s="24"/>
      <c r="G140" s="28"/>
      <c r="H140" s="29"/>
    </row>
    <row r="141" spans="1:8" ht="30.75" customHeight="1" x14ac:dyDescent="0.15">
      <c r="A141" s="21" t="s">
        <v>443</v>
      </c>
      <c r="B141" s="42"/>
      <c r="C141" s="47" t="str">
        <f t="shared" si="17"/>
        <v/>
      </c>
      <c r="D141" s="27"/>
      <c r="E141" s="24"/>
      <c r="F141" s="24"/>
      <c r="G141" s="28"/>
      <c r="H141" s="29"/>
    </row>
    <row r="142" spans="1:8" ht="30.75" customHeight="1" x14ac:dyDescent="0.15">
      <c r="A142" s="16" t="s">
        <v>305</v>
      </c>
      <c r="B142" s="32"/>
      <c r="C142" s="32"/>
      <c r="D142" s="33"/>
      <c r="E142" s="32"/>
      <c r="F142" s="32"/>
      <c r="G142" s="33"/>
      <c r="H142" s="34"/>
    </row>
    <row r="143" spans="1:8" ht="30.75" customHeight="1" x14ac:dyDescent="0.15">
      <c r="A143" s="21" t="s">
        <v>444</v>
      </c>
      <c r="B143" s="42"/>
      <c r="C143" s="47" t="str">
        <f t="shared" ref="C143:C147" si="18">IF(B143="Yes",2,IF(B143="Partial",1,IF(B143="No",0,"")))</f>
        <v/>
      </c>
      <c r="D143" s="27"/>
      <c r="E143" s="24"/>
      <c r="F143" s="24"/>
      <c r="G143" s="28"/>
      <c r="H143" s="29"/>
    </row>
    <row r="144" spans="1:8" ht="30.75" customHeight="1" x14ac:dyDescent="0.15">
      <c r="A144" s="21" t="s">
        <v>445</v>
      </c>
      <c r="B144" s="42"/>
      <c r="C144" s="47" t="str">
        <f t="shared" si="18"/>
        <v/>
      </c>
      <c r="D144" s="27"/>
      <c r="E144" s="24"/>
      <c r="F144" s="24"/>
      <c r="G144" s="28"/>
      <c r="H144" s="29"/>
    </row>
    <row r="145" spans="1:8" ht="30.75" customHeight="1" x14ac:dyDescent="0.15">
      <c r="A145" s="21" t="s">
        <v>446</v>
      </c>
      <c r="B145" s="42"/>
      <c r="C145" s="47" t="str">
        <f t="shared" si="18"/>
        <v/>
      </c>
      <c r="D145" s="27"/>
      <c r="E145" s="24"/>
      <c r="F145" s="24"/>
      <c r="G145" s="28"/>
      <c r="H145" s="29"/>
    </row>
    <row r="146" spans="1:8" ht="30.75" customHeight="1" x14ac:dyDescent="0.15">
      <c r="A146" s="21" t="s">
        <v>447</v>
      </c>
      <c r="B146" s="42"/>
      <c r="C146" s="47" t="str">
        <f t="shared" si="18"/>
        <v/>
      </c>
      <c r="D146" s="27"/>
      <c r="E146" s="24"/>
      <c r="F146" s="24"/>
      <c r="G146" s="28"/>
      <c r="H146" s="29"/>
    </row>
    <row r="147" spans="1:8" ht="30.75" customHeight="1" x14ac:dyDescent="0.15">
      <c r="A147" s="21" t="s">
        <v>448</v>
      </c>
      <c r="B147" s="42"/>
      <c r="C147" s="47" t="str">
        <f t="shared" si="18"/>
        <v/>
      </c>
      <c r="D147" s="27"/>
      <c r="E147" s="24"/>
      <c r="F147" s="24"/>
      <c r="G147" s="28"/>
      <c r="H147" s="29"/>
    </row>
    <row r="148" spans="1:8" ht="30.75" customHeight="1" x14ac:dyDescent="0.15">
      <c r="A148" s="16" t="s">
        <v>306</v>
      </c>
      <c r="B148" s="32"/>
      <c r="C148" s="32"/>
      <c r="D148" s="33"/>
      <c r="E148" s="32"/>
      <c r="F148" s="32"/>
      <c r="G148" s="33"/>
      <c r="H148" s="34"/>
    </row>
    <row r="149" spans="1:8" ht="30.75" customHeight="1" x14ac:dyDescent="0.15">
      <c r="A149" s="21" t="s">
        <v>449</v>
      </c>
      <c r="B149" s="42"/>
      <c r="C149" s="47" t="str">
        <f t="shared" ref="C149:C153" si="19">IF(B149="Yes",2,IF(B149="Partial",1,IF(B149="No",0,"")))</f>
        <v/>
      </c>
      <c r="D149" s="27"/>
      <c r="E149" s="24"/>
      <c r="F149" s="24"/>
      <c r="G149" s="28"/>
      <c r="H149" s="29"/>
    </row>
    <row r="150" spans="1:8" ht="30.75" customHeight="1" x14ac:dyDescent="0.15">
      <c r="A150" s="21" t="s">
        <v>450</v>
      </c>
      <c r="B150" s="42"/>
      <c r="C150" s="47" t="str">
        <f t="shared" si="19"/>
        <v/>
      </c>
      <c r="D150" s="27"/>
      <c r="E150" s="24"/>
      <c r="F150" s="24"/>
      <c r="G150" s="28"/>
      <c r="H150" s="29"/>
    </row>
    <row r="151" spans="1:8" ht="30.75" customHeight="1" x14ac:dyDescent="0.15">
      <c r="A151" s="21" t="s">
        <v>451</v>
      </c>
      <c r="B151" s="42"/>
      <c r="C151" s="47" t="str">
        <f t="shared" si="19"/>
        <v/>
      </c>
      <c r="D151" s="27"/>
      <c r="E151" s="24"/>
      <c r="F151" s="24"/>
      <c r="G151" s="28"/>
      <c r="H151" s="29"/>
    </row>
    <row r="152" spans="1:8" ht="30.75" customHeight="1" x14ac:dyDescent="0.15">
      <c r="A152" s="21" t="s">
        <v>452</v>
      </c>
      <c r="B152" s="42"/>
      <c r="C152" s="47" t="str">
        <f t="shared" si="19"/>
        <v/>
      </c>
      <c r="D152" s="27"/>
      <c r="E152" s="24"/>
      <c r="F152" s="24"/>
      <c r="G152" s="28"/>
      <c r="H152" s="29"/>
    </row>
    <row r="153" spans="1:8" ht="30.75" customHeight="1" x14ac:dyDescent="0.15">
      <c r="A153" s="21" t="s">
        <v>453</v>
      </c>
      <c r="B153" s="42"/>
      <c r="C153" s="47" t="str">
        <f t="shared" si="19"/>
        <v/>
      </c>
      <c r="D153" s="27"/>
      <c r="E153" s="24"/>
      <c r="F153" s="24"/>
      <c r="G153" s="28"/>
      <c r="H153" s="29"/>
    </row>
    <row r="154" spans="1:8" ht="30.75" customHeight="1" x14ac:dyDescent="0.15">
      <c r="A154" s="13" t="s">
        <v>307</v>
      </c>
      <c r="B154" s="31"/>
      <c r="C154" s="31"/>
      <c r="D154" s="14"/>
      <c r="E154" s="31"/>
      <c r="F154" s="31"/>
      <c r="G154" s="14"/>
      <c r="H154" s="15"/>
    </row>
    <row r="155" spans="1:8" ht="30.75" customHeight="1" x14ac:dyDescent="0.15">
      <c r="A155" s="16" t="s">
        <v>308</v>
      </c>
      <c r="B155" s="32"/>
      <c r="C155" s="32"/>
      <c r="D155" s="33"/>
      <c r="E155" s="32"/>
      <c r="F155" s="32"/>
      <c r="G155" s="33"/>
      <c r="H155" s="34"/>
    </row>
    <row r="156" spans="1:8" ht="30.75" customHeight="1" x14ac:dyDescent="0.15">
      <c r="A156" s="21" t="s">
        <v>454</v>
      </c>
      <c r="B156" s="42"/>
      <c r="C156" s="47" t="str">
        <f t="shared" ref="C156" si="20">IF(B156="Yes",2,IF(B156="Partial",1,IF(B156="No",0,"")))</f>
        <v/>
      </c>
      <c r="D156" s="27"/>
      <c r="E156" s="24"/>
      <c r="F156" s="24"/>
      <c r="G156" s="28"/>
      <c r="H156" s="29"/>
    </row>
    <row r="157" spans="1:8" ht="30.75" customHeight="1" x14ac:dyDescent="0.15">
      <c r="A157" s="21" t="s">
        <v>455</v>
      </c>
      <c r="B157" s="42"/>
      <c r="C157" s="47" t="str">
        <f t="shared" ref="C157:C160" si="21">IF(B157="Yes",2,IF(B157="Partial",1,IF(B157="No",0,"")))</f>
        <v/>
      </c>
      <c r="D157" s="27"/>
      <c r="E157" s="24"/>
      <c r="F157" s="24"/>
      <c r="G157" s="28"/>
      <c r="H157" s="29"/>
    </row>
    <row r="158" spans="1:8" ht="30.75" customHeight="1" x14ac:dyDescent="0.15">
      <c r="A158" s="21" t="s">
        <v>456</v>
      </c>
      <c r="B158" s="42"/>
      <c r="C158" s="47" t="str">
        <f t="shared" si="21"/>
        <v/>
      </c>
      <c r="D158" s="27"/>
      <c r="E158" s="24"/>
      <c r="F158" s="24"/>
      <c r="G158" s="28"/>
      <c r="H158" s="29"/>
    </row>
    <row r="159" spans="1:8" ht="30.75" customHeight="1" x14ac:dyDescent="0.15">
      <c r="A159" s="21" t="s">
        <v>457</v>
      </c>
      <c r="B159" s="42"/>
      <c r="C159" s="47" t="str">
        <f t="shared" si="21"/>
        <v/>
      </c>
      <c r="D159" s="27"/>
      <c r="E159" s="24"/>
      <c r="F159" s="24"/>
      <c r="G159" s="28"/>
      <c r="H159" s="29"/>
    </row>
    <row r="160" spans="1:8" ht="30.75" customHeight="1" x14ac:dyDescent="0.15">
      <c r="A160" s="21" t="s">
        <v>458</v>
      </c>
      <c r="B160" s="42"/>
      <c r="C160" s="47" t="str">
        <f t="shared" si="21"/>
        <v/>
      </c>
      <c r="D160" s="27"/>
      <c r="E160" s="24"/>
      <c r="F160" s="24"/>
      <c r="G160" s="28"/>
      <c r="H160" s="29"/>
    </row>
    <row r="161" spans="1:8" ht="30.75" customHeight="1" x14ac:dyDescent="0.15">
      <c r="A161" s="16" t="s">
        <v>309</v>
      </c>
      <c r="B161" s="32"/>
      <c r="C161" s="32"/>
      <c r="D161" s="33"/>
      <c r="E161" s="32"/>
      <c r="F161" s="32"/>
      <c r="G161" s="33"/>
      <c r="H161" s="34"/>
    </row>
    <row r="162" spans="1:8" ht="30.75" customHeight="1" x14ac:dyDescent="0.15">
      <c r="A162" s="21" t="s">
        <v>459</v>
      </c>
      <c r="B162" s="42"/>
      <c r="C162" s="47" t="str">
        <f t="shared" ref="C162:C166" si="22">IF(B162="Yes",2,IF(B162="Partial",1,IF(B162="No",0,"")))</f>
        <v/>
      </c>
      <c r="D162" s="27"/>
      <c r="E162" s="24"/>
      <c r="F162" s="24"/>
      <c r="G162" s="28"/>
      <c r="H162" s="29"/>
    </row>
    <row r="163" spans="1:8" ht="30.75" customHeight="1" x14ac:dyDescent="0.15">
      <c r="A163" s="21" t="s">
        <v>460</v>
      </c>
      <c r="B163" s="42"/>
      <c r="C163" s="47" t="str">
        <f t="shared" si="22"/>
        <v/>
      </c>
      <c r="D163" s="27"/>
      <c r="E163" s="24"/>
      <c r="F163" s="24"/>
      <c r="G163" s="28"/>
      <c r="H163" s="29"/>
    </row>
    <row r="164" spans="1:8" ht="30.75" customHeight="1" x14ac:dyDescent="0.15">
      <c r="A164" s="21" t="s">
        <v>461</v>
      </c>
      <c r="B164" s="42"/>
      <c r="C164" s="47" t="str">
        <f t="shared" si="22"/>
        <v/>
      </c>
      <c r="D164" s="27"/>
      <c r="E164" s="24"/>
      <c r="F164" s="24"/>
      <c r="G164" s="28"/>
      <c r="H164" s="29"/>
    </row>
    <row r="165" spans="1:8" ht="30.75" customHeight="1" x14ac:dyDescent="0.15">
      <c r="A165" s="21" t="s">
        <v>462</v>
      </c>
      <c r="B165" s="42"/>
      <c r="C165" s="47" t="str">
        <f t="shared" si="22"/>
        <v/>
      </c>
      <c r="D165" s="27"/>
      <c r="E165" s="24"/>
      <c r="F165" s="24"/>
      <c r="G165" s="28"/>
      <c r="H165" s="29"/>
    </row>
    <row r="166" spans="1:8" ht="30.75" customHeight="1" x14ac:dyDescent="0.15">
      <c r="A166" s="21" t="s">
        <v>463</v>
      </c>
      <c r="B166" s="42"/>
      <c r="C166" s="47" t="str">
        <f t="shared" si="22"/>
        <v/>
      </c>
      <c r="D166" s="27"/>
      <c r="E166" s="24"/>
      <c r="F166" s="24"/>
      <c r="G166" s="28"/>
      <c r="H166" s="29"/>
    </row>
    <row r="167" spans="1:8" ht="30.75" customHeight="1" x14ac:dyDescent="0.15">
      <c r="A167" s="16" t="s">
        <v>310</v>
      </c>
      <c r="B167" s="32"/>
      <c r="C167" s="32"/>
      <c r="D167" s="33"/>
      <c r="E167" s="32"/>
      <c r="F167" s="32"/>
      <c r="G167" s="33"/>
      <c r="H167" s="34"/>
    </row>
    <row r="168" spans="1:8" ht="30.75" customHeight="1" x14ac:dyDescent="0.15">
      <c r="A168" s="21" t="s">
        <v>464</v>
      </c>
      <c r="B168" s="42"/>
      <c r="C168" s="47" t="str">
        <f t="shared" ref="C168:C172" si="23">IF(B168="Yes",2,IF(B168="Partial",1,IF(B168="No",0,"")))</f>
        <v/>
      </c>
      <c r="D168" s="27"/>
      <c r="E168" s="24"/>
      <c r="F168" s="24"/>
      <c r="G168" s="28"/>
      <c r="H168" s="29"/>
    </row>
    <row r="169" spans="1:8" ht="30.75" customHeight="1" x14ac:dyDescent="0.15">
      <c r="A169" s="21" t="s">
        <v>465</v>
      </c>
      <c r="B169" s="42"/>
      <c r="C169" s="47" t="str">
        <f t="shared" si="23"/>
        <v/>
      </c>
      <c r="D169" s="27"/>
      <c r="E169" s="24"/>
      <c r="F169" s="24"/>
      <c r="G169" s="28"/>
      <c r="H169" s="29"/>
    </row>
    <row r="170" spans="1:8" ht="30.75" customHeight="1" x14ac:dyDescent="0.15">
      <c r="A170" s="21" t="s">
        <v>466</v>
      </c>
      <c r="B170" s="42"/>
      <c r="C170" s="47" t="str">
        <f t="shared" si="23"/>
        <v/>
      </c>
      <c r="D170" s="27"/>
      <c r="E170" s="24"/>
      <c r="F170" s="24"/>
      <c r="G170" s="28"/>
      <c r="H170" s="29"/>
    </row>
    <row r="171" spans="1:8" ht="30.75" customHeight="1" x14ac:dyDescent="0.15">
      <c r="A171" s="21" t="s">
        <v>467</v>
      </c>
      <c r="B171" s="42"/>
      <c r="C171" s="47" t="str">
        <f t="shared" si="23"/>
        <v/>
      </c>
      <c r="D171" s="27"/>
      <c r="E171" s="24"/>
      <c r="F171" s="24"/>
      <c r="G171" s="28"/>
      <c r="H171" s="29"/>
    </row>
    <row r="172" spans="1:8" ht="30.75" customHeight="1" x14ac:dyDescent="0.15">
      <c r="A172" s="21" t="s">
        <v>468</v>
      </c>
      <c r="B172" s="42"/>
      <c r="C172" s="47" t="str">
        <f t="shared" si="23"/>
        <v/>
      </c>
      <c r="D172" s="27"/>
      <c r="E172" s="24"/>
      <c r="F172" s="24"/>
      <c r="G172" s="28"/>
      <c r="H172" s="29"/>
    </row>
    <row r="173" spans="1:8" ht="30.75" customHeight="1" x14ac:dyDescent="0.15">
      <c r="A173" s="16" t="s">
        <v>311</v>
      </c>
      <c r="B173" s="32"/>
      <c r="C173" s="32"/>
      <c r="D173" s="33"/>
      <c r="E173" s="32"/>
      <c r="F173" s="32"/>
      <c r="G173" s="33"/>
      <c r="H173" s="34"/>
    </row>
    <row r="174" spans="1:8" ht="30.75" customHeight="1" x14ac:dyDescent="0.15">
      <c r="A174" s="21" t="s">
        <v>469</v>
      </c>
      <c r="B174" s="42"/>
      <c r="C174" s="47" t="str">
        <f t="shared" ref="C174:C178" si="24">IF(B174="Yes",2,IF(B174="Partial",1,IF(B174="No",0,"")))</f>
        <v/>
      </c>
      <c r="D174" s="27"/>
      <c r="E174" s="24"/>
      <c r="F174" s="24"/>
      <c r="G174" s="28"/>
      <c r="H174" s="29"/>
    </row>
    <row r="175" spans="1:8" ht="30.75" customHeight="1" x14ac:dyDescent="0.15">
      <c r="A175" s="21" t="s">
        <v>470</v>
      </c>
      <c r="B175" s="42"/>
      <c r="C175" s="47" t="str">
        <f t="shared" si="24"/>
        <v/>
      </c>
      <c r="D175" s="27"/>
      <c r="E175" s="24"/>
      <c r="F175" s="24"/>
      <c r="G175" s="28"/>
      <c r="H175" s="29"/>
    </row>
    <row r="176" spans="1:8" ht="30.75" customHeight="1" x14ac:dyDescent="0.15">
      <c r="A176" s="21" t="s">
        <v>471</v>
      </c>
      <c r="B176" s="42"/>
      <c r="C176" s="47" t="str">
        <f t="shared" si="24"/>
        <v/>
      </c>
      <c r="D176" s="27"/>
      <c r="E176" s="24"/>
      <c r="F176" s="24"/>
      <c r="G176" s="28"/>
      <c r="H176" s="29"/>
    </row>
    <row r="177" spans="1:8" ht="30.75" customHeight="1" x14ac:dyDescent="0.15">
      <c r="A177" s="21" t="s">
        <v>472</v>
      </c>
      <c r="B177" s="42"/>
      <c r="C177" s="47" t="str">
        <f t="shared" si="24"/>
        <v/>
      </c>
      <c r="D177" s="27"/>
      <c r="E177" s="24"/>
      <c r="F177" s="24"/>
      <c r="G177" s="28"/>
      <c r="H177" s="29"/>
    </row>
    <row r="178" spans="1:8" ht="30.75" customHeight="1" x14ac:dyDescent="0.15">
      <c r="A178" s="21" t="s">
        <v>473</v>
      </c>
      <c r="B178" s="42"/>
      <c r="C178" s="47" t="str">
        <f t="shared" si="24"/>
        <v/>
      </c>
      <c r="D178" s="27"/>
      <c r="E178" s="24"/>
      <c r="F178" s="24"/>
      <c r="G178" s="28"/>
      <c r="H178" s="29"/>
    </row>
    <row r="179" spans="1:8" ht="30.75" customHeight="1" x14ac:dyDescent="0.15">
      <c r="A179" s="13" t="s">
        <v>312</v>
      </c>
      <c r="B179" s="31"/>
      <c r="C179" s="31"/>
      <c r="D179" s="14"/>
      <c r="E179" s="31"/>
      <c r="F179" s="31"/>
      <c r="G179" s="14"/>
      <c r="H179" s="15"/>
    </row>
    <row r="180" spans="1:8" ht="30.75" customHeight="1" x14ac:dyDescent="0.15">
      <c r="A180" s="16" t="s">
        <v>313</v>
      </c>
      <c r="B180" s="32"/>
      <c r="C180" s="32"/>
      <c r="D180" s="33"/>
      <c r="E180" s="32"/>
      <c r="F180" s="32"/>
      <c r="G180" s="33"/>
      <c r="H180" s="34"/>
    </row>
    <row r="181" spans="1:8" ht="30.75" customHeight="1" x14ac:dyDescent="0.15">
      <c r="A181" s="21" t="s">
        <v>474</v>
      </c>
      <c r="B181" s="42"/>
      <c r="C181" s="47" t="str">
        <f t="shared" ref="C181:C185" si="25">IF(B181="Yes",2,IF(B181="Partial",1,IF(B181="No",0,"")))</f>
        <v/>
      </c>
      <c r="D181" s="27"/>
      <c r="E181" s="24"/>
      <c r="F181" s="24"/>
      <c r="G181" s="28"/>
      <c r="H181" s="29"/>
    </row>
    <row r="182" spans="1:8" ht="30.75" customHeight="1" x14ac:dyDescent="0.15">
      <c r="A182" s="21" t="s">
        <v>475</v>
      </c>
      <c r="B182" s="42"/>
      <c r="C182" s="47" t="str">
        <f t="shared" si="25"/>
        <v/>
      </c>
      <c r="D182" s="27"/>
      <c r="E182" s="24"/>
      <c r="F182" s="24"/>
      <c r="G182" s="28"/>
      <c r="H182" s="29"/>
    </row>
    <row r="183" spans="1:8" ht="30.75" customHeight="1" x14ac:dyDescent="0.15">
      <c r="A183" s="21" t="s">
        <v>476</v>
      </c>
      <c r="B183" s="42"/>
      <c r="C183" s="47" t="str">
        <f t="shared" si="25"/>
        <v/>
      </c>
      <c r="D183" s="27"/>
      <c r="E183" s="24"/>
      <c r="F183" s="24"/>
      <c r="G183" s="28"/>
      <c r="H183" s="29"/>
    </row>
    <row r="184" spans="1:8" ht="30.75" customHeight="1" x14ac:dyDescent="0.15">
      <c r="A184" s="21" t="s">
        <v>477</v>
      </c>
      <c r="B184" s="42"/>
      <c r="C184" s="47" t="str">
        <f t="shared" si="25"/>
        <v/>
      </c>
      <c r="D184" s="27"/>
      <c r="E184" s="24"/>
      <c r="F184" s="24"/>
      <c r="G184" s="28"/>
      <c r="H184" s="29"/>
    </row>
    <row r="185" spans="1:8" ht="30.75" customHeight="1" x14ac:dyDescent="0.15">
      <c r="A185" s="21" t="s">
        <v>478</v>
      </c>
      <c r="B185" s="42"/>
      <c r="C185" s="47" t="str">
        <f t="shared" si="25"/>
        <v/>
      </c>
      <c r="D185" s="27"/>
      <c r="E185" s="24"/>
      <c r="F185" s="24"/>
      <c r="G185" s="28"/>
      <c r="H185" s="29"/>
    </row>
    <row r="186" spans="1:8" ht="30.75" customHeight="1" x14ac:dyDescent="0.15">
      <c r="A186" s="16" t="s">
        <v>314</v>
      </c>
      <c r="B186" s="32"/>
      <c r="C186" s="32"/>
      <c r="D186" s="33"/>
      <c r="E186" s="32"/>
      <c r="F186" s="32"/>
      <c r="G186" s="33"/>
      <c r="H186" s="34"/>
    </row>
    <row r="187" spans="1:8" ht="30.75" customHeight="1" x14ac:dyDescent="0.15">
      <c r="A187" s="21" t="s">
        <v>479</v>
      </c>
      <c r="B187" s="42"/>
      <c r="C187" s="47" t="str">
        <f t="shared" ref="C187:C191" si="26">IF(B187="Yes",2,IF(B187="Partial",1,IF(B187="No",0,"")))</f>
        <v/>
      </c>
      <c r="D187" s="27"/>
      <c r="E187" s="24"/>
      <c r="F187" s="24"/>
      <c r="G187" s="28"/>
      <c r="H187" s="29"/>
    </row>
    <row r="188" spans="1:8" ht="30.75" customHeight="1" x14ac:dyDescent="0.15">
      <c r="A188" s="21" t="s">
        <v>480</v>
      </c>
      <c r="B188" s="42"/>
      <c r="C188" s="47" t="str">
        <f t="shared" si="26"/>
        <v/>
      </c>
      <c r="D188" s="27"/>
      <c r="E188" s="24"/>
      <c r="F188" s="24"/>
      <c r="G188" s="28"/>
      <c r="H188" s="29"/>
    </row>
    <row r="189" spans="1:8" ht="30.75" customHeight="1" x14ac:dyDescent="0.15">
      <c r="A189" s="21" t="s">
        <v>481</v>
      </c>
      <c r="B189" s="42"/>
      <c r="C189" s="47" t="str">
        <f t="shared" si="26"/>
        <v/>
      </c>
      <c r="D189" s="27"/>
      <c r="E189" s="24"/>
      <c r="F189" s="24"/>
      <c r="G189" s="28"/>
      <c r="H189" s="29"/>
    </row>
    <row r="190" spans="1:8" ht="30.75" customHeight="1" x14ac:dyDescent="0.15">
      <c r="A190" s="21" t="s">
        <v>482</v>
      </c>
      <c r="B190" s="42"/>
      <c r="C190" s="47" t="str">
        <f t="shared" si="26"/>
        <v/>
      </c>
      <c r="D190" s="27"/>
      <c r="E190" s="24"/>
      <c r="F190" s="24"/>
      <c r="G190" s="28"/>
      <c r="H190" s="29"/>
    </row>
    <row r="191" spans="1:8" ht="30.75" customHeight="1" x14ac:dyDescent="0.15">
      <c r="A191" s="21" t="s">
        <v>483</v>
      </c>
      <c r="B191" s="42"/>
      <c r="C191" s="47" t="str">
        <f t="shared" si="26"/>
        <v/>
      </c>
      <c r="D191" s="27"/>
      <c r="E191" s="24"/>
      <c r="F191" s="24"/>
      <c r="G191" s="28"/>
      <c r="H191" s="29"/>
    </row>
    <row r="192" spans="1:8" ht="30.75" customHeight="1" x14ac:dyDescent="0.15">
      <c r="A192" s="16" t="s">
        <v>315</v>
      </c>
      <c r="B192" s="32"/>
      <c r="C192" s="32"/>
      <c r="D192" s="33"/>
      <c r="E192" s="32"/>
      <c r="F192" s="32"/>
      <c r="G192" s="33"/>
      <c r="H192" s="34"/>
    </row>
    <row r="193" spans="1:8" ht="30.75" customHeight="1" x14ac:dyDescent="0.15">
      <c r="A193" s="21" t="s">
        <v>484</v>
      </c>
      <c r="B193" s="42"/>
      <c r="C193" s="47" t="str">
        <f t="shared" ref="C193:C197" si="27">IF(B193="Yes",2,IF(B193="Partial",1,IF(B193="No",0,"")))</f>
        <v/>
      </c>
      <c r="D193" s="27"/>
      <c r="E193" s="24"/>
      <c r="F193" s="24"/>
      <c r="G193" s="28"/>
      <c r="H193" s="29"/>
    </row>
    <row r="194" spans="1:8" ht="30.75" customHeight="1" x14ac:dyDescent="0.15">
      <c r="A194" s="21" t="s">
        <v>485</v>
      </c>
      <c r="B194" s="42"/>
      <c r="C194" s="47" t="str">
        <f t="shared" si="27"/>
        <v/>
      </c>
      <c r="D194" s="27"/>
      <c r="E194" s="24"/>
      <c r="F194" s="24"/>
      <c r="G194" s="28"/>
      <c r="H194" s="29"/>
    </row>
    <row r="195" spans="1:8" ht="30.75" customHeight="1" x14ac:dyDescent="0.15">
      <c r="A195" s="21" t="s">
        <v>486</v>
      </c>
      <c r="B195" s="42"/>
      <c r="C195" s="47" t="str">
        <f t="shared" si="27"/>
        <v/>
      </c>
      <c r="D195" s="27"/>
      <c r="E195" s="24"/>
      <c r="F195" s="24"/>
      <c r="G195" s="28"/>
      <c r="H195" s="29"/>
    </row>
    <row r="196" spans="1:8" ht="30.75" customHeight="1" x14ac:dyDescent="0.15">
      <c r="A196" s="21" t="s">
        <v>487</v>
      </c>
      <c r="B196" s="42"/>
      <c r="C196" s="47" t="str">
        <f t="shared" si="27"/>
        <v/>
      </c>
      <c r="D196" s="27"/>
      <c r="E196" s="24"/>
      <c r="F196" s="24"/>
      <c r="G196" s="28"/>
      <c r="H196" s="29"/>
    </row>
    <row r="197" spans="1:8" ht="30.75" customHeight="1" x14ac:dyDescent="0.15">
      <c r="A197" s="21" t="s">
        <v>488</v>
      </c>
      <c r="B197" s="42"/>
      <c r="C197" s="47" t="str">
        <f t="shared" si="27"/>
        <v/>
      </c>
      <c r="D197" s="27"/>
      <c r="E197" s="24"/>
      <c r="F197" s="24"/>
      <c r="G197" s="28"/>
      <c r="H197" s="29"/>
    </row>
    <row r="198" spans="1:8" ht="30.75" customHeight="1" x14ac:dyDescent="0.15">
      <c r="A198" s="16" t="s">
        <v>316</v>
      </c>
      <c r="B198" s="32"/>
      <c r="C198" s="32"/>
      <c r="D198" s="33"/>
      <c r="E198" s="32"/>
      <c r="F198" s="32"/>
      <c r="G198" s="33"/>
      <c r="H198" s="34"/>
    </row>
    <row r="199" spans="1:8" ht="30.75" customHeight="1" x14ac:dyDescent="0.15">
      <c r="A199" s="21" t="s">
        <v>489</v>
      </c>
      <c r="B199" s="42"/>
      <c r="C199" s="47" t="str">
        <f t="shared" ref="C199:C203" si="28">IF(B199="Yes",2,IF(B199="Partial",1,IF(B199="No",0,"")))</f>
        <v/>
      </c>
      <c r="D199" s="27"/>
      <c r="E199" s="24"/>
      <c r="F199" s="24"/>
      <c r="G199" s="28"/>
      <c r="H199" s="29"/>
    </row>
    <row r="200" spans="1:8" ht="30.75" customHeight="1" x14ac:dyDescent="0.15">
      <c r="A200" s="21" t="s">
        <v>490</v>
      </c>
      <c r="B200" s="42"/>
      <c r="C200" s="47" t="str">
        <f t="shared" si="28"/>
        <v/>
      </c>
      <c r="D200" s="27"/>
      <c r="E200" s="24"/>
      <c r="F200" s="24"/>
      <c r="G200" s="28"/>
      <c r="H200" s="29"/>
    </row>
    <row r="201" spans="1:8" ht="30.75" customHeight="1" x14ac:dyDescent="0.15">
      <c r="A201" s="21" t="s">
        <v>491</v>
      </c>
      <c r="B201" s="42"/>
      <c r="C201" s="47" t="str">
        <f t="shared" si="28"/>
        <v/>
      </c>
      <c r="D201" s="27"/>
      <c r="E201" s="24"/>
      <c r="F201" s="24"/>
      <c r="G201" s="28"/>
      <c r="H201" s="29"/>
    </row>
    <row r="202" spans="1:8" ht="30.75" customHeight="1" x14ac:dyDescent="0.15">
      <c r="A202" s="21" t="s">
        <v>492</v>
      </c>
      <c r="B202" s="42"/>
      <c r="C202" s="47" t="str">
        <f t="shared" si="28"/>
        <v/>
      </c>
      <c r="D202" s="27"/>
      <c r="E202" s="24"/>
      <c r="F202" s="24"/>
      <c r="G202" s="28"/>
      <c r="H202" s="29"/>
    </row>
    <row r="203" spans="1:8" ht="30.75" customHeight="1" x14ac:dyDescent="0.15">
      <c r="A203" s="21" t="s">
        <v>493</v>
      </c>
      <c r="B203" s="42"/>
      <c r="C203" s="47" t="str">
        <f t="shared" si="28"/>
        <v/>
      </c>
      <c r="D203" s="27"/>
      <c r="E203" s="24"/>
      <c r="F203" s="24"/>
      <c r="G203" s="28"/>
      <c r="H203" s="29"/>
    </row>
    <row r="204" spans="1:8" ht="30.75" customHeight="1" x14ac:dyDescent="0.15">
      <c r="A204" s="13" t="s">
        <v>317</v>
      </c>
      <c r="B204" s="31"/>
      <c r="C204" s="31"/>
      <c r="D204" s="14"/>
      <c r="E204" s="31"/>
      <c r="F204" s="31"/>
      <c r="G204" s="14"/>
      <c r="H204" s="15"/>
    </row>
    <row r="205" spans="1:8" ht="30.75" customHeight="1" x14ac:dyDescent="0.15">
      <c r="A205" s="16" t="s">
        <v>318</v>
      </c>
      <c r="B205" s="32"/>
      <c r="C205" s="32"/>
      <c r="D205" s="33"/>
      <c r="E205" s="32"/>
      <c r="F205" s="32"/>
      <c r="G205" s="33"/>
      <c r="H205" s="34"/>
    </row>
    <row r="206" spans="1:8" ht="30.75" customHeight="1" x14ac:dyDescent="0.15">
      <c r="A206" s="21" t="s">
        <v>494</v>
      </c>
      <c r="B206" s="42"/>
      <c r="C206" s="47" t="str">
        <f t="shared" ref="C206:C209" si="29">IF(B206="Yes",2,IF(B206="Partial",1,IF(B206="No",0,"")))</f>
        <v/>
      </c>
      <c r="D206" s="27"/>
      <c r="E206" s="24"/>
      <c r="F206" s="24"/>
      <c r="G206" s="28"/>
      <c r="H206" s="29"/>
    </row>
    <row r="207" spans="1:8" ht="30.75" customHeight="1" x14ac:dyDescent="0.15">
      <c r="A207" s="21" t="s">
        <v>495</v>
      </c>
      <c r="B207" s="42"/>
      <c r="C207" s="47" t="str">
        <f t="shared" si="29"/>
        <v/>
      </c>
      <c r="D207" s="27"/>
      <c r="E207" s="24"/>
      <c r="F207" s="24"/>
      <c r="G207" s="28"/>
      <c r="H207" s="29"/>
    </row>
    <row r="208" spans="1:8" ht="30.75" customHeight="1" x14ac:dyDescent="0.15">
      <c r="A208" s="21" t="s">
        <v>496</v>
      </c>
      <c r="B208" s="42"/>
      <c r="C208" s="47" t="str">
        <f t="shared" si="29"/>
        <v/>
      </c>
      <c r="D208" s="27"/>
      <c r="E208" s="24"/>
      <c r="F208" s="24"/>
      <c r="G208" s="28"/>
      <c r="H208" s="29"/>
    </row>
    <row r="209" spans="1:8" ht="30.75" customHeight="1" x14ac:dyDescent="0.15">
      <c r="A209" s="21" t="s">
        <v>497</v>
      </c>
      <c r="B209" s="42"/>
      <c r="C209" s="47" t="str">
        <f t="shared" si="29"/>
        <v/>
      </c>
      <c r="D209" s="27"/>
      <c r="E209" s="24"/>
      <c r="F209" s="24"/>
      <c r="G209" s="28"/>
      <c r="H209" s="29"/>
    </row>
    <row r="210" spans="1:8" ht="30.75" customHeight="1" x14ac:dyDescent="0.15">
      <c r="A210" s="16" t="s">
        <v>319</v>
      </c>
      <c r="B210" s="32"/>
      <c r="C210" s="32"/>
      <c r="D210" s="33"/>
      <c r="E210" s="32"/>
      <c r="F210" s="32"/>
      <c r="G210" s="33"/>
      <c r="H210" s="34"/>
    </row>
    <row r="211" spans="1:8" ht="30.75" customHeight="1" x14ac:dyDescent="0.15">
      <c r="A211" s="21" t="s">
        <v>498</v>
      </c>
      <c r="B211" s="42"/>
      <c r="C211" s="47" t="str">
        <f t="shared" ref="C211:C215" si="30">IF(B211="Yes",2,IF(B211="Partial",1,IF(B211="No",0,"")))</f>
        <v/>
      </c>
      <c r="D211" s="27"/>
      <c r="E211" s="24"/>
      <c r="F211" s="24"/>
      <c r="G211" s="28"/>
      <c r="H211" s="29"/>
    </row>
    <row r="212" spans="1:8" ht="30.75" customHeight="1" x14ac:dyDescent="0.15">
      <c r="A212" s="21" t="s">
        <v>499</v>
      </c>
      <c r="B212" s="42"/>
      <c r="C212" s="47" t="str">
        <f t="shared" si="30"/>
        <v/>
      </c>
      <c r="D212" s="27"/>
      <c r="E212" s="24"/>
      <c r="F212" s="24"/>
      <c r="G212" s="28"/>
      <c r="H212" s="29"/>
    </row>
    <row r="213" spans="1:8" ht="30.75" customHeight="1" x14ac:dyDescent="0.15">
      <c r="A213" s="21" t="s">
        <v>500</v>
      </c>
      <c r="B213" s="42"/>
      <c r="C213" s="47" t="str">
        <f t="shared" si="30"/>
        <v/>
      </c>
      <c r="D213" s="27"/>
      <c r="E213" s="24"/>
      <c r="F213" s="24"/>
      <c r="G213" s="28"/>
      <c r="H213" s="29"/>
    </row>
    <row r="214" spans="1:8" ht="30.75" customHeight="1" x14ac:dyDescent="0.15">
      <c r="A214" s="21" t="s">
        <v>501</v>
      </c>
      <c r="B214" s="42"/>
      <c r="C214" s="47" t="str">
        <f t="shared" si="30"/>
        <v/>
      </c>
      <c r="D214" s="27"/>
      <c r="E214" s="24"/>
      <c r="F214" s="24"/>
      <c r="G214" s="28"/>
      <c r="H214" s="29"/>
    </row>
    <row r="215" spans="1:8" ht="30.75" customHeight="1" x14ac:dyDescent="0.15">
      <c r="A215" s="21" t="s">
        <v>502</v>
      </c>
      <c r="B215" s="42"/>
      <c r="C215" s="47" t="str">
        <f t="shared" si="30"/>
        <v/>
      </c>
      <c r="D215" s="27"/>
      <c r="E215" s="24"/>
      <c r="F215" s="24"/>
      <c r="G215" s="28"/>
      <c r="H215" s="29"/>
    </row>
    <row r="216" spans="1:8" ht="30.75" customHeight="1" x14ac:dyDescent="0.15">
      <c r="A216" s="16" t="s">
        <v>320</v>
      </c>
      <c r="B216" s="32"/>
      <c r="C216" s="32"/>
      <c r="D216" s="33"/>
      <c r="E216" s="32"/>
      <c r="F216" s="32"/>
      <c r="G216" s="33"/>
      <c r="H216" s="34"/>
    </row>
    <row r="217" spans="1:8" ht="30.75" customHeight="1" x14ac:dyDescent="0.15">
      <c r="A217" s="21" t="s">
        <v>503</v>
      </c>
      <c r="B217" s="42"/>
      <c r="C217" s="47" t="str">
        <f t="shared" ref="C217:C221" si="31">IF(B217="Yes",2,IF(B217="Partial",1,IF(B217="No",0,"")))</f>
        <v/>
      </c>
      <c r="D217" s="27"/>
      <c r="E217" s="24"/>
      <c r="F217" s="24"/>
      <c r="G217" s="28"/>
      <c r="H217" s="29"/>
    </row>
    <row r="218" spans="1:8" ht="30.75" customHeight="1" x14ac:dyDescent="0.15">
      <c r="A218" s="21" t="s">
        <v>504</v>
      </c>
      <c r="B218" s="42"/>
      <c r="C218" s="47" t="str">
        <f t="shared" si="31"/>
        <v/>
      </c>
      <c r="D218" s="27"/>
      <c r="E218" s="24"/>
      <c r="F218" s="24"/>
      <c r="G218" s="28"/>
      <c r="H218" s="29"/>
    </row>
    <row r="219" spans="1:8" ht="30.75" customHeight="1" x14ac:dyDescent="0.15">
      <c r="A219" s="21" t="s">
        <v>505</v>
      </c>
      <c r="B219" s="42"/>
      <c r="C219" s="47" t="str">
        <f t="shared" si="31"/>
        <v/>
      </c>
      <c r="D219" s="27"/>
      <c r="E219" s="24"/>
      <c r="F219" s="24"/>
      <c r="G219" s="28"/>
      <c r="H219" s="29"/>
    </row>
    <row r="220" spans="1:8" ht="30.75" customHeight="1" x14ac:dyDescent="0.15">
      <c r="A220" s="21" t="s">
        <v>506</v>
      </c>
      <c r="B220" s="42"/>
      <c r="C220" s="47" t="str">
        <f t="shared" si="31"/>
        <v/>
      </c>
      <c r="D220" s="27"/>
      <c r="E220" s="24"/>
      <c r="F220" s="24"/>
      <c r="G220" s="28"/>
      <c r="H220" s="29"/>
    </row>
    <row r="221" spans="1:8" ht="30.75" customHeight="1" x14ac:dyDescent="0.15">
      <c r="A221" s="21" t="s">
        <v>507</v>
      </c>
      <c r="B221" s="42"/>
      <c r="C221" s="47" t="str">
        <f t="shared" si="31"/>
        <v/>
      </c>
      <c r="D221" s="27"/>
      <c r="E221" s="24"/>
      <c r="F221" s="24"/>
      <c r="G221" s="28"/>
      <c r="H221" s="29"/>
    </row>
    <row r="222" spans="1:8" ht="30.75" customHeight="1" x14ac:dyDescent="0.15">
      <c r="A222" s="16" t="s">
        <v>321</v>
      </c>
      <c r="B222" s="32"/>
      <c r="C222" s="32"/>
      <c r="D222" s="33"/>
      <c r="E222" s="32"/>
      <c r="F222" s="32"/>
      <c r="G222" s="33"/>
      <c r="H222" s="34"/>
    </row>
    <row r="223" spans="1:8" ht="30.75" customHeight="1" x14ac:dyDescent="0.15">
      <c r="A223" s="21" t="s">
        <v>508</v>
      </c>
      <c r="B223" s="42"/>
      <c r="C223" s="47" t="str">
        <f t="shared" ref="C223:C227" si="32">IF(B223="Yes",2,IF(B223="Partial",1,IF(B223="No",0,"")))</f>
        <v/>
      </c>
      <c r="D223" s="27"/>
      <c r="E223" s="24"/>
      <c r="F223" s="24"/>
      <c r="G223" s="28"/>
      <c r="H223" s="29"/>
    </row>
    <row r="224" spans="1:8" ht="30.75" customHeight="1" x14ac:dyDescent="0.15">
      <c r="A224" s="21" t="s">
        <v>509</v>
      </c>
      <c r="B224" s="42"/>
      <c r="C224" s="47" t="str">
        <f t="shared" si="32"/>
        <v/>
      </c>
      <c r="D224" s="27"/>
      <c r="E224" s="24"/>
      <c r="F224" s="24"/>
      <c r="G224" s="28"/>
      <c r="H224" s="29"/>
    </row>
    <row r="225" spans="1:8" ht="30.75" customHeight="1" x14ac:dyDescent="0.15">
      <c r="A225" s="21" t="s">
        <v>510</v>
      </c>
      <c r="B225" s="42"/>
      <c r="C225" s="47" t="str">
        <f t="shared" si="32"/>
        <v/>
      </c>
      <c r="D225" s="27"/>
      <c r="E225" s="24"/>
      <c r="F225" s="24"/>
      <c r="G225" s="28"/>
      <c r="H225" s="29"/>
    </row>
    <row r="226" spans="1:8" ht="30.75" customHeight="1" x14ac:dyDescent="0.15">
      <c r="A226" s="21" t="s">
        <v>511</v>
      </c>
      <c r="B226" s="42"/>
      <c r="C226" s="47" t="str">
        <f t="shared" si="32"/>
        <v/>
      </c>
      <c r="D226" s="27"/>
      <c r="E226" s="24"/>
      <c r="F226" s="24"/>
      <c r="G226" s="28"/>
      <c r="H226" s="29"/>
    </row>
    <row r="227" spans="1:8" ht="30.75" customHeight="1" x14ac:dyDescent="0.15">
      <c r="A227" s="21" t="s">
        <v>512</v>
      </c>
      <c r="B227" s="42"/>
      <c r="C227" s="47" t="str">
        <f t="shared" si="32"/>
        <v/>
      </c>
      <c r="D227" s="27"/>
      <c r="E227" s="24"/>
      <c r="F227" s="24"/>
      <c r="G227" s="28"/>
      <c r="H227" s="29"/>
    </row>
    <row r="228" spans="1:8" ht="30.75" customHeight="1" x14ac:dyDescent="0.15">
      <c r="A228" s="13" t="s">
        <v>322</v>
      </c>
      <c r="B228" s="31"/>
      <c r="C228" s="31"/>
      <c r="D228" s="14"/>
      <c r="E228" s="31"/>
      <c r="F228" s="31"/>
      <c r="G228" s="14"/>
      <c r="H228" s="15"/>
    </row>
    <row r="229" spans="1:8" ht="30.75" customHeight="1" x14ac:dyDescent="0.15">
      <c r="A229" s="16" t="s">
        <v>323</v>
      </c>
      <c r="B229" s="32"/>
      <c r="C229" s="32"/>
      <c r="D229" s="33"/>
      <c r="E229" s="32"/>
      <c r="F229" s="32"/>
      <c r="G229" s="33"/>
      <c r="H229" s="34"/>
    </row>
    <row r="230" spans="1:8" ht="30.75" customHeight="1" x14ac:dyDescent="0.15">
      <c r="A230" s="21" t="s">
        <v>513</v>
      </c>
      <c r="B230" s="42"/>
      <c r="C230" s="47" t="str">
        <f t="shared" ref="C230:C234" si="33">IF(B230="Yes",2,IF(B230="Partial",1,IF(B230="No",0,"")))</f>
        <v/>
      </c>
      <c r="D230" s="27"/>
      <c r="E230" s="24"/>
      <c r="F230" s="24"/>
      <c r="G230" s="28"/>
      <c r="H230" s="29"/>
    </row>
    <row r="231" spans="1:8" ht="30.75" customHeight="1" x14ac:dyDescent="0.15">
      <c r="A231" s="21" t="s">
        <v>514</v>
      </c>
      <c r="B231" s="42"/>
      <c r="C231" s="47" t="str">
        <f t="shared" si="33"/>
        <v/>
      </c>
      <c r="D231" s="27"/>
      <c r="E231" s="24"/>
      <c r="F231" s="24"/>
      <c r="G231" s="28"/>
      <c r="H231" s="29"/>
    </row>
    <row r="232" spans="1:8" ht="30.75" customHeight="1" x14ac:dyDescent="0.15">
      <c r="A232" s="21" t="s">
        <v>515</v>
      </c>
      <c r="B232" s="42"/>
      <c r="C232" s="47" t="str">
        <f t="shared" si="33"/>
        <v/>
      </c>
      <c r="D232" s="27"/>
      <c r="E232" s="24"/>
      <c r="F232" s="24"/>
      <c r="G232" s="28"/>
      <c r="H232" s="29"/>
    </row>
    <row r="233" spans="1:8" ht="30.75" customHeight="1" x14ac:dyDescent="0.15">
      <c r="A233" s="21" t="s">
        <v>516</v>
      </c>
      <c r="B233" s="42"/>
      <c r="C233" s="47" t="str">
        <f t="shared" si="33"/>
        <v/>
      </c>
      <c r="D233" s="27"/>
      <c r="E233" s="24"/>
      <c r="F233" s="24"/>
      <c r="G233" s="28"/>
      <c r="H233" s="29"/>
    </row>
    <row r="234" spans="1:8" ht="30.75" customHeight="1" x14ac:dyDescent="0.15">
      <c r="A234" s="21" t="s">
        <v>517</v>
      </c>
      <c r="B234" s="42"/>
      <c r="C234" s="47" t="str">
        <f t="shared" si="33"/>
        <v/>
      </c>
      <c r="D234" s="27"/>
      <c r="E234" s="24"/>
      <c r="F234" s="24"/>
      <c r="G234" s="28"/>
      <c r="H234" s="29"/>
    </row>
    <row r="235" spans="1:8" ht="30.75" customHeight="1" x14ac:dyDescent="0.15">
      <c r="A235" s="16" t="s">
        <v>324</v>
      </c>
      <c r="B235" s="32"/>
      <c r="C235" s="32"/>
      <c r="D235" s="33"/>
      <c r="E235" s="32"/>
      <c r="F235" s="32"/>
      <c r="G235" s="33"/>
      <c r="H235" s="34"/>
    </row>
    <row r="236" spans="1:8" ht="30.75" customHeight="1" x14ac:dyDescent="0.15">
      <c r="A236" s="21" t="s">
        <v>518</v>
      </c>
      <c r="B236" s="42"/>
      <c r="C236" s="47" t="str">
        <f t="shared" ref="C236:C240" si="34">IF(B236="Yes",2,IF(B236="Partial",1,IF(B236="No",0,"")))</f>
        <v/>
      </c>
      <c r="D236" s="27"/>
      <c r="E236" s="24"/>
      <c r="F236" s="24"/>
      <c r="G236" s="28"/>
      <c r="H236" s="29"/>
    </row>
    <row r="237" spans="1:8" ht="30.75" customHeight="1" x14ac:dyDescent="0.15">
      <c r="A237" s="21" t="s">
        <v>519</v>
      </c>
      <c r="B237" s="42"/>
      <c r="C237" s="47" t="str">
        <f t="shared" si="34"/>
        <v/>
      </c>
      <c r="D237" s="27"/>
      <c r="E237" s="24"/>
      <c r="F237" s="24"/>
      <c r="G237" s="28"/>
      <c r="H237" s="29"/>
    </row>
    <row r="238" spans="1:8" ht="30.75" customHeight="1" x14ac:dyDescent="0.15">
      <c r="A238" s="21" t="s">
        <v>520</v>
      </c>
      <c r="B238" s="42"/>
      <c r="C238" s="47" t="str">
        <f t="shared" si="34"/>
        <v/>
      </c>
      <c r="D238" s="27"/>
      <c r="E238" s="24"/>
      <c r="F238" s="24"/>
      <c r="G238" s="28"/>
      <c r="H238" s="29"/>
    </row>
    <row r="239" spans="1:8" ht="30.75" customHeight="1" x14ac:dyDescent="0.15">
      <c r="A239" s="21" t="s">
        <v>521</v>
      </c>
      <c r="B239" s="42"/>
      <c r="C239" s="47" t="str">
        <f t="shared" si="34"/>
        <v/>
      </c>
      <c r="D239" s="27"/>
      <c r="E239" s="24"/>
      <c r="F239" s="24"/>
      <c r="G239" s="28"/>
      <c r="H239" s="29"/>
    </row>
    <row r="240" spans="1:8" ht="30.75" customHeight="1" x14ac:dyDescent="0.15">
      <c r="A240" s="21" t="s">
        <v>522</v>
      </c>
      <c r="B240" s="42"/>
      <c r="C240" s="47" t="str">
        <f t="shared" si="34"/>
        <v/>
      </c>
      <c r="D240" s="27"/>
      <c r="E240" s="24"/>
      <c r="F240" s="24"/>
      <c r="G240" s="28"/>
      <c r="H240" s="29"/>
    </row>
    <row r="241" spans="1:8" ht="30.75" customHeight="1" x14ac:dyDescent="0.15">
      <c r="A241" s="16" t="s">
        <v>325</v>
      </c>
      <c r="B241" s="32"/>
      <c r="C241" s="32"/>
      <c r="D241" s="33"/>
      <c r="E241" s="32"/>
      <c r="F241" s="32"/>
      <c r="G241" s="33"/>
      <c r="H241" s="34"/>
    </row>
    <row r="242" spans="1:8" ht="30.75" customHeight="1" x14ac:dyDescent="0.15">
      <c r="A242" s="21" t="s">
        <v>523</v>
      </c>
      <c r="B242" s="42"/>
      <c r="C242" s="47" t="str">
        <f t="shared" ref="C242:C246" si="35">IF(B242="Yes",2,IF(B242="Partial",1,IF(B242="No",0,"")))</f>
        <v/>
      </c>
      <c r="D242" s="27"/>
      <c r="E242" s="24"/>
      <c r="F242" s="24"/>
      <c r="G242" s="28"/>
      <c r="H242" s="29"/>
    </row>
    <row r="243" spans="1:8" ht="30.75" customHeight="1" x14ac:dyDescent="0.15">
      <c r="A243" s="21" t="s">
        <v>524</v>
      </c>
      <c r="B243" s="42"/>
      <c r="C243" s="47" t="str">
        <f t="shared" si="35"/>
        <v/>
      </c>
      <c r="D243" s="27"/>
      <c r="E243" s="24"/>
      <c r="F243" s="24"/>
      <c r="G243" s="28"/>
      <c r="H243" s="29"/>
    </row>
    <row r="244" spans="1:8" ht="30.75" customHeight="1" x14ac:dyDescent="0.15">
      <c r="A244" s="21" t="s">
        <v>525</v>
      </c>
      <c r="B244" s="42"/>
      <c r="C244" s="47" t="str">
        <f t="shared" si="35"/>
        <v/>
      </c>
      <c r="D244" s="27"/>
      <c r="E244" s="24"/>
      <c r="F244" s="24"/>
      <c r="G244" s="28"/>
      <c r="H244" s="29"/>
    </row>
    <row r="245" spans="1:8" ht="30.75" customHeight="1" x14ac:dyDescent="0.15">
      <c r="A245" s="21" t="s">
        <v>526</v>
      </c>
      <c r="B245" s="42"/>
      <c r="C245" s="47" t="str">
        <f t="shared" si="35"/>
        <v/>
      </c>
      <c r="D245" s="27"/>
      <c r="E245" s="24"/>
      <c r="F245" s="24"/>
      <c r="G245" s="28"/>
      <c r="H245" s="29"/>
    </row>
    <row r="246" spans="1:8" ht="30.75" customHeight="1" x14ac:dyDescent="0.15">
      <c r="A246" s="21" t="s">
        <v>527</v>
      </c>
      <c r="B246" s="42"/>
      <c r="C246" s="47" t="str">
        <f t="shared" si="35"/>
        <v/>
      </c>
      <c r="D246" s="27"/>
      <c r="E246" s="24"/>
      <c r="F246" s="24"/>
      <c r="G246" s="28"/>
      <c r="H246" s="29"/>
    </row>
    <row r="247" spans="1:8" ht="30.75" customHeight="1" x14ac:dyDescent="0.15">
      <c r="A247" s="16" t="s">
        <v>326</v>
      </c>
      <c r="B247" s="32"/>
      <c r="C247" s="32"/>
      <c r="D247" s="33"/>
      <c r="E247" s="32"/>
      <c r="F247" s="32"/>
      <c r="G247" s="33"/>
      <c r="H247" s="34"/>
    </row>
    <row r="248" spans="1:8" ht="30.75" customHeight="1" x14ac:dyDescent="0.15">
      <c r="A248" s="21" t="s">
        <v>528</v>
      </c>
      <c r="B248" s="42"/>
      <c r="C248" s="47" t="str">
        <f t="shared" ref="C248:C252" si="36">IF(B248="Yes",2,IF(B248="Partial",1,IF(B248="No",0,"")))</f>
        <v/>
      </c>
      <c r="D248" s="27"/>
      <c r="E248" s="24"/>
      <c r="F248" s="24"/>
      <c r="G248" s="28"/>
      <c r="H248" s="29"/>
    </row>
    <row r="249" spans="1:8" ht="30.75" customHeight="1" x14ac:dyDescent="0.15">
      <c r="A249" s="21" t="s">
        <v>529</v>
      </c>
      <c r="B249" s="42"/>
      <c r="C249" s="47" t="str">
        <f t="shared" si="36"/>
        <v/>
      </c>
      <c r="D249" s="27"/>
      <c r="E249" s="24"/>
      <c r="F249" s="24"/>
      <c r="G249" s="28"/>
      <c r="H249" s="29"/>
    </row>
    <row r="250" spans="1:8" ht="30.75" customHeight="1" x14ac:dyDescent="0.15">
      <c r="A250" s="21" t="s">
        <v>530</v>
      </c>
      <c r="B250" s="42"/>
      <c r="C250" s="47" t="str">
        <f t="shared" si="36"/>
        <v/>
      </c>
      <c r="D250" s="27"/>
      <c r="E250" s="24"/>
      <c r="F250" s="24"/>
      <c r="G250" s="28"/>
      <c r="H250" s="29"/>
    </row>
    <row r="251" spans="1:8" ht="30.75" customHeight="1" x14ac:dyDescent="0.15">
      <c r="A251" s="21" t="s">
        <v>531</v>
      </c>
      <c r="B251" s="42"/>
      <c r="C251" s="47" t="str">
        <f t="shared" si="36"/>
        <v/>
      </c>
      <c r="D251" s="27"/>
      <c r="E251" s="24"/>
      <c r="F251" s="24"/>
      <c r="G251" s="28"/>
      <c r="H251" s="29"/>
    </row>
    <row r="252" spans="1:8" ht="30.75" customHeight="1" x14ac:dyDescent="0.15">
      <c r="A252" s="21" t="s">
        <v>532</v>
      </c>
      <c r="B252" s="42"/>
      <c r="C252" s="47" t="str">
        <f t="shared" si="36"/>
        <v/>
      </c>
      <c r="D252" s="27"/>
      <c r="E252" s="24"/>
      <c r="F252" s="24"/>
      <c r="G252" s="28"/>
      <c r="H252" s="29"/>
    </row>
    <row r="253" spans="1:8" ht="30.75" hidden="1" customHeight="1" x14ac:dyDescent="0.15">
      <c r="B253" s="42" t="s">
        <v>538</v>
      </c>
      <c r="C253" s="47">
        <f>SUM(C5:C252)</f>
        <v>6</v>
      </c>
    </row>
    <row r="254" spans="1:8" ht="30.75" hidden="1" customHeight="1" x14ac:dyDescent="0.15">
      <c r="B254" s="42" t="s">
        <v>539</v>
      </c>
      <c r="C254" s="47">
        <f>(COUNTIFS(B5:B252,"Yes")+COUNTIFS(B5:B252,"Partial")+COUNTIFS(B5:B252,"No")) * 2</f>
        <v>10</v>
      </c>
    </row>
    <row r="255" spans="1:8" ht="30.75" hidden="1" customHeight="1" x14ac:dyDescent="0.15">
      <c r="B255" s="42" t="s">
        <v>540</v>
      </c>
      <c r="C255" s="48">
        <f>C253 / C254</f>
        <v>0.6</v>
      </c>
    </row>
    <row r="256" spans="1:8" ht="30.75" customHeight="1" x14ac:dyDescent="0.15"/>
    <row r="257" ht="30.75" customHeight="1" x14ac:dyDescent="0.15"/>
    <row r="258" ht="30.75" customHeight="1" x14ac:dyDescent="0.15"/>
    <row r="259" ht="30.75" customHeight="1" x14ac:dyDescent="0.15"/>
    <row r="260" ht="30.75" customHeight="1" x14ac:dyDescent="0.15"/>
    <row r="261" ht="30.75" customHeight="1" x14ac:dyDescent="0.15"/>
    <row r="262" ht="30.75" customHeight="1" x14ac:dyDescent="0.15"/>
    <row r="263" ht="30.75" customHeight="1" x14ac:dyDescent="0.15"/>
    <row r="264" ht="30.75" customHeight="1" x14ac:dyDescent="0.15"/>
    <row r="265" ht="30.75" customHeight="1" x14ac:dyDescent="0.15"/>
    <row r="266" ht="30.75" customHeight="1" x14ac:dyDescent="0.15"/>
    <row r="267" ht="30.75" customHeight="1" x14ac:dyDescent="0.15"/>
    <row r="268" ht="30.75" customHeight="1" x14ac:dyDescent="0.15"/>
    <row r="269" ht="30.75" customHeight="1" x14ac:dyDescent="0.15"/>
    <row r="270" ht="30.75" customHeight="1" x14ac:dyDescent="0.15"/>
    <row r="271" ht="30.75" customHeight="1" x14ac:dyDescent="0.15"/>
    <row r="272" ht="30.75" customHeight="1" x14ac:dyDescent="0.15"/>
    <row r="273" ht="30.75" customHeight="1" x14ac:dyDescent="0.15"/>
    <row r="274" ht="30.75" customHeight="1" x14ac:dyDescent="0.15"/>
    <row r="275" ht="30.75" customHeight="1" x14ac:dyDescent="0.15"/>
    <row r="276" ht="30.75" customHeight="1" x14ac:dyDescent="0.15"/>
    <row r="277" ht="30.75" customHeight="1" x14ac:dyDescent="0.15"/>
    <row r="278" ht="30.75" customHeight="1" x14ac:dyDescent="0.15"/>
    <row r="279" ht="30.75" customHeight="1" x14ac:dyDescent="0.15"/>
    <row r="280" ht="30.75" customHeight="1" x14ac:dyDescent="0.15"/>
    <row r="281" ht="30.75" customHeight="1" x14ac:dyDescent="0.15"/>
    <row r="282" ht="30.75" customHeight="1" x14ac:dyDescent="0.15"/>
    <row r="283" ht="30.75" customHeight="1" x14ac:dyDescent="0.15"/>
    <row r="284" ht="30.75" customHeight="1" x14ac:dyDescent="0.15"/>
    <row r="285" ht="30.75" customHeight="1" x14ac:dyDescent="0.15"/>
    <row r="286" ht="30.75" customHeight="1" x14ac:dyDescent="0.15"/>
    <row r="287" ht="30.75" customHeight="1" x14ac:dyDescent="0.15"/>
    <row r="288" ht="30.75" customHeight="1" x14ac:dyDescent="0.15"/>
    <row r="289" ht="30.75" customHeight="1" x14ac:dyDescent="0.15"/>
    <row r="290" ht="30.75" customHeight="1" x14ac:dyDescent="0.15"/>
    <row r="291" ht="30.75" customHeight="1" x14ac:dyDescent="0.15"/>
    <row r="292" ht="30.75" customHeight="1" x14ac:dyDescent="0.15"/>
    <row r="293" ht="30.75" customHeight="1" x14ac:dyDescent="0.15"/>
    <row r="294" ht="30.75" customHeight="1" x14ac:dyDescent="0.15"/>
    <row r="295" ht="30.75" customHeight="1" x14ac:dyDescent="0.15"/>
    <row r="296" ht="30.75" customHeight="1" x14ac:dyDescent="0.15"/>
    <row r="297" ht="30.75" customHeight="1" x14ac:dyDescent="0.15"/>
    <row r="298" ht="30.75" customHeight="1" x14ac:dyDescent="0.15"/>
    <row r="299" ht="30.75" customHeight="1" x14ac:dyDescent="0.15"/>
    <row r="300" ht="30.75" customHeight="1" x14ac:dyDescent="0.15"/>
    <row r="301" ht="30.75" customHeight="1" x14ac:dyDescent="0.15"/>
    <row r="302" ht="30.75" customHeight="1" x14ac:dyDescent="0.15"/>
    <row r="303" ht="30.75" customHeight="1" x14ac:dyDescent="0.15"/>
    <row r="304" ht="30.75" customHeight="1" x14ac:dyDescent="0.15"/>
    <row r="305" ht="30.75" customHeight="1" x14ac:dyDescent="0.15"/>
    <row r="306" ht="30.75" customHeight="1" x14ac:dyDescent="0.15"/>
    <row r="307" ht="30.75" customHeight="1" x14ac:dyDescent="0.15"/>
    <row r="308" ht="30.75" customHeight="1" x14ac:dyDescent="0.15"/>
    <row r="309" ht="30.75" customHeight="1" x14ac:dyDescent="0.15"/>
    <row r="310" ht="30.75" customHeight="1" x14ac:dyDescent="0.15"/>
    <row r="311" ht="30.75" customHeight="1" x14ac:dyDescent="0.15"/>
    <row r="312" ht="30.75" customHeight="1" x14ac:dyDescent="0.15"/>
    <row r="313" ht="30.75" customHeight="1" x14ac:dyDescent="0.15"/>
    <row r="314" ht="30.75" customHeight="1" x14ac:dyDescent="0.15"/>
    <row r="315" ht="30.75" customHeight="1" x14ac:dyDescent="0.15"/>
    <row r="316" ht="30.75" customHeight="1" x14ac:dyDescent="0.15"/>
    <row r="317" ht="30.75" customHeight="1" x14ac:dyDescent="0.15"/>
    <row r="318" ht="30.75" customHeight="1" x14ac:dyDescent="0.15"/>
    <row r="319" ht="30.75" customHeight="1" x14ac:dyDescent="0.15"/>
    <row r="320" ht="30.75" customHeight="1" x14ac:dyDescent="0.15"/>
    <row r="321" ht="30.75" customHeight="1" x14ac:dyDescent="0.15"/>
    <row r="322" ht="30.75" customHeight="1" x14ac:dyDescent="0.15"/>
    <row r="323" ht="30.75" customHeight="1" x14ac:dyDescent="0.15"/>
    <row r="324" ht="30.75" customHeight="1" x14ac:dyDescent="0.15"/>
    <row r="325" ht="30.75" customHeight="1" x14ac:dyDescent="0.15"/>
    <row r="326" ht="30.75" customHeight="1" x14ac:dyDescent="0.15"/>
    <row r="327" ht="30.75" customHeight="1" x14ac:dyDescent="0.15"/>
    <row r="328" ht="30.75" customHeight="1" x14ac:dyDescent="0.15"/>
    <row r="329" ht="30.75" customHeight="1" x14ac:dyDescent="0.15"/>
    <row r="330" ht="30.75" customHeight="1" x14ac:dyDescent="0.15"/>
    <row r="331" ht="30.75" customHeight="1" x14ac:dyDescent="0.15"/>
    <row r="332" ht="30.75" customHeight="1" x14ac:dyDescent="0.15"/>
    <row r="333" ht="30.75" customHeight="1" x14ac:dyDescent="0.15"/>
    <row r="334" ht="30.75" customHeight="1" x14ac:dyDescent="0.15"/>
    <row r="335" ht="30.75" customHeight="1" x14ac:dyDescent="0.15"/>
    <row r="336" ht="30.75" customHeight="1" x14ac:dyDescent="0.15"/>
    <row r="337" ht="30.75" customHeight="1" x14ac:dyDescent="0.15"/>
    <row r="338" ht="30.75" customHeight="1" x14ac:dyDescent="0.15"/>
    <row r="339" ht="30.75" customHeight="1" x14ac:dyDescent="0.15"/>
    <row r="340" ht="30.75" customHeight="1" x14ac:dyDescent="0.15"/>
    <row r="341" ht="30.75" customHeight="1" x14ac:dyDescent="0.15"/>
    <row r="342" ht="30.75" customHeight="1" x14ac:dyDescent="0.15"/>
    <row r="343" ht="30.75" customHeight="1" x14ac:dyDescent="0.15"/>
    <row r="344" ht="30.75" customHeight="1" x14ac:dyDescent="0.15"/>
    <row r="345" ht="30.75" customHeight="1" x14ac:dyDescent="0.15"/>
    <row r="346" ht="30.75" customHeight="1" x14ac:dyDescent="0.15"/>
    <row r="347" ht="30.75" customHeight="1" x14ac:dyDescent="0.15"/>
    <row r="348" ht="30.75" customHeight="1" x14ac:dyDescent="0.15"/>
    <row r="349" ht="30.75" customHeight="1" x14ac:dyDescent="0.15"/>
    <row r="350" ht="30.75" customHeight="1" x14ac:dyDescent="0.15"/>
    <row r="351" ht="30.75" customHeight="1" x14ac:dyDescent="0.15"/>
    <row r="352" ht="30.75" customHeight="1" x14ac:dyDescent="0.15"/>
    <row r="353" ht="30.75" customHeight="1" x14ac:dyDescent="0.15"/>
    <row r="354" ht="30.75" customHeight="1" x14ac:dyDescent="0.15"/>
    <row r="355" ht="30.75" customHeight="1" x14ac:dyDescent="0.15"/>
    <row r="356" ht="30.75" customHeight="1" x14ac:dyDescent="0.15"/>
    <row r="357" ht="30.75" customHeight="1" x14ac:dyDescent="0.15"/>
    <row r="358" ht="30.75" customHeight="1" x14ac:dyDescent="0.15"/>
    <row r="359" ht="30.75" customHeight="1" x14ac:dyDescent="0.15"/>
    <row r="360" ht="30.75" customHeight="1" x14ac:dyDescent="0.15"/>
    <row r="361" ht="30.75" customHeight="1" x14ac:dyDescent="0.15"/>
    <row r="362" ht="30.75" customHeight="1" x14ac:dyDescent="0.15"/>
    <row r="363" ht="30.75" customHeight="1" x14ac:dyDescent="0.15"/>
    <row r="364" ht="30.75" customHeight="1" x14ac:dyDescent="0.15"/>
    <row r="365" ht="30.75" customHeight="1" x14ac:dyDescent="0.15"/>
    <row r="366" ht="30.75" customHeight="1" x14ac:dyDescent="0.15"/>
    <row r="367" ht="30.75" customHeight="1" x14ac:dyDescent="0.15"/>
    <row r="368" ht="30.75" customHeight="1" x14ac:dyDescent="0.15"/>
    <row r="369" ht="30.75" customHeight="1" x14ac:dyDescent="0.15"/>
    <row r="370" ht="30.75" customHeight="1" x14ac:dyDescent="0.15"/>
    <row r="371" ht="30.75" customHeight="1" x14ac:dyDescent="0.15"/>
    <row r="372" ht="30.75" customHeight="1" x14ac:dyDescent="0.15"/>
    <row r="373" ht="30.75" customHeight="1" x14ac:dyDescent="0.15"/>
    <row r="374" ht="30.75" customHeight="1" x14ac:dyDescent="0.15"/>
    <row r="375" ht="30.75" customHeight="1" x14ac:dyDescent="0.15"/>
    <row r="376" ht="30.75" customHeight="1" x14ac:dyDescent="0.15"/>
    <row r="377" ht="30.75" customHeight="1" x14ac:dyDescent="0.15"/>
    <row r="378" ht="30.75" customHeight="1" x14ac:dyDescent="0.15"/>
    <row r="379" ht="30.75" customHeight="1" x14ac:dyDescent="0.15"/>
    <row r="380" ht="30.75" customHeight="1" x14ac:dyDescent="0.15"/>
    <row r="381" ht="30.75" customHeight="1" x14ac:dyDescent="0.15"/>
    <row r="382" ht="30.75" customHeight="1" x14ac:dyDescent="0.15"/>
    <row r="383" ht="30.75" customHeight="1" x14ac:dyDescent="0.15"/>
    <row r="384" ht="30.75" customHeight="1" x14ac:dyDescent="0.15"/>
    <row r="385" ht="30.75" customHeight="1" x14ac:dyDescent="0.15"/>
    <row r="386" ht="30.75" customHeight="1" x14ac:dyDescent="0.15"/>
    <row r="387" ht="30.75" customHeight="1" x14ac:dyDescent="0.15"/>
    <row r="388" ht="30.75" customHeight="1" x14ac:dyDescent="0.15"/>
    <row r="389" ht="30.75" customHeight="1" x14ac:dyDescent="0.15"/>
    <row r="390" ht="30.75" customHeight="1" x14ac:dyDescent="0.15"/>
    <row r="391" ht="30.75" customHeight="1" x14ac:dyDescent="0.15"/>
    <row r="392" ht="30.75" customHeight="1" x14ac:dyDescent="0.15"/>
    <row r="393" ht="30.75" customHeight="1" x14ac:dyDescent="0.15"/>
    <row r="394" ht="30.75" customHeight="1" x14ac:dyDescent="0.15"/>
    <row r="395" ht="30.75" customHeight="1" x14ac:dyDescent="0.15"/>
    <row r="396" ht="30.75" customHeight="1" x14ac:dyDescent="0.15"/>
    <row r="397" ht="30.75" customHeight="1" x14ac:dyDescent="0.15"/>
    <row r="398" ht="30.75" customHeight="1" x14ac:dyDescent="0.15"/>
    <row r="399" ht="30.75" customHeight="1" x14ac:dyDescent="0.15"/>
    <row r="400" ht="30.75" customHeight="1" x14ac:dyDescent="0.15"/>
    <row r="401" ht="30.75" customHeight="1" x14ac:dyDescent="0.15"/>
    <row r="402" ht="30.75" customHeight="1" x14ac:dyDescent="0.15"/>
    <row r="403" ht="30.75" customHeight="1" x14ac:dyDescent="0.15"/>
    <row r="404" ht="30.75" customHeight="1" x14ac:dyDescent="0.15"/>
    <row r="405" ht="30.75" customHeight="1" x14ac:dyDescent="0.15"/>
    <row r="406" ht="30.75" customHeight="1" x14ac:dyDescent="0.15"/>
    <row r="407" ht="30.75" customHeight="1" x14ac:dyDescent="0.15"/>
    <row r="408" ht="30.75" customHeight="1" x14ac:dyDescent="0.15"/>
    <row r="409" ht="30.75" customHeight="1" x14ac:dyDescent="0.15"/>
    <row r="410" ht="30.75" customHeight="1" x14ac:dyDescent="0.15"/>
    <row r="411" ht="30.75" customHeight="1" x14ac:dyDescent="0.15"/>
    <row r="412" ht="30.75" customHeight="1" x14ac:dyDescent="0.15"/>
    <row r="413" ht="30.75" customHeight="1" x14ac:dyDescent="0.15"/>
    <row r="414" ht="30.75" customHeight="1" x14ac:dyDescent="0.15"/>
    <row r="415" ht="30.75" customHeight="1" x14ac:dyDescent="0.15"/>
    <row r="416" ht="30.75" customHeight="1" x14ac:dyDescent="0.15"/>
    <row r="417" ht="30.75" customHeight="1" x14ac:dyDescent="0.15"/>
    <row r="418" ht="30.75" customHeight="1" x14ac:dyDescent="0.15"/>
    <row r="419" ht="30.75" customHeight="1" x14ac:dyDescent="0.15"/>
    <row r="420" ht="30.75" customHeight="1" x14ac:dyDescent="0.15"/>
    <row r="421" ht="30.75" customHeight="1" x14ac:dyDescent="0.15"/>
    <row r="422" ht="30.75" customHeight="1" x14ac:dyDescent="0.15"/>
    <row r="423" ht="30.75" customHeight="1" x14ac:dyDescent="0.15"/>
    <row r="424" ht="30.75" customHeight="1" x14ac:dyDescent="0.15"/>
    <row r="425" ht="30.75" customHeight="1" x14ac:dyDescent="0.15"/>
    <row r="426" ht="30.75" customHeight="1" x14ac:dyDescent="0.15"/>
    <row r="427" ht="30.75" customHeight="1" x14ac:dyDescent="0.15"/>
    <row r="428" ht="30.75" customHeight="1" x14ac:dyDescent="0.15"/>
    <row r="429" ht="30.75" customHeight="1" x14ac:dyDescent="0.15"/>
    <row r="430" ht="30.75" customHeight="1" x14ac:dyDescent="0.15"/>
    <row r="431" ht="30.75" customHeight="1" x14ac:dyDescent="0.15"/>
    <row r="432" ht="30.75" customHeight="1" x14ac:dyDescent="0.15"/>
    <row r="433" ht="30.75" customHeight="1" x14ac:dyDescent="0.15"/>
    <row r="434" ht="30.75" customHeight="1" x14ac:dyDescent="0.15"/>
    <row r="435" ht="30.75" customHeight="1" x14ac:dyDescent="0.15"/>
    <row r="436" ht="30.75" customHeight="1" x14ac:dyDescent="0.15"/>
    <row r="437" ht="30.75" customHeight="1" x14ac:dyDescent="0.15"/>
    <row r="438" ht="30.75" customHeight="1" x14ac:dyDescent="0.15"/>
    <row r="439" ht="30.75" customHeight="1" x14ac:dyDescent="0.15"/>
    <row r="440" ht="30.75" customHeight="1" x14ac:dyDescent="0.15"/>
    <row r="441" ht="30.75" customHeight="1" x14ac:dyDescent="0.15"/>
    <row r="442" ht="30.75" customHeight="1" x14ac:dyDescent="0.15"/>
    <row r="443" ht="30.75" customHeight="1" x14ac:dyDescent="0.15"/>
    <row r="444" ht="30.75" customHeight="1" x14ac:dyDescent="0.15"/>
    <row r="445" ht="30.75" customHeight="1" x14ac:dyDescent="0.15"/>
    <row r="446" ht="30.75" customHeight="1" x14ac:dyDescent="0.15"/>
    <row r="447" ht="30.75" customHeight="1" x14ac:dyDescent="0.15"/>
    <row r="448" ht="30.75" customHeight="1" x14ac:dyDescent="0.15"/>
    <row r="449" ht="30.75" customHeight="1" x14ac:dyDescent="0.15"/>
    <row r="450" ht="30.75" customHeight="1" x14ac:dyDescent="0.15"/>
    <row r="451" ht="30.75" customHeight="1" x14ac:dyDescent="0.15"/>
    <row r="452" ht="30.75" customHeight="1" x14ac:dyDescent="0.15"/>
    <row r="453" ht="30.75" customHeight="1" x14ac:dyDescent="0.15"/>
    <row r="454" ht="30.75" customHeight="1" x14ac:dyDescent="0.15"/>
    <row r="455" ht="30.75" customHeight="1" x14ac:dyDescent="0.15"/>
    <row r="456" ht="30.75" customHeight="1" x14ac:dyDescent="0.15"/>
    <row r="457" ht="30.75" customHeight="1" x14ac:dyDescent="0.15"/>
    <row r="458" ht="30.75" customHeight="1" x14ac:dyDescent="0.15"/>
    <row r="459" ht="30.75" customHeight="1" x14ac:dyDescent="0.15"/>
    <row r="460" ht="30.75" customHeight="1" x14ac:dyDescent="0.15"/>
    <row r="461" ht="30.75" customHeight="1" x14ac:dyDescent="0.15"/>
    <row r="462" ht="30.75" customHeight="1" x14ac:dyDescent="0.15"/>
    <row r="463" ht="30.75" customHeight="1" x14ac:dyDescent="0.15"/>
    <row r="464" ht="30.75" customHeight="1" x14ac:dyDescent="0.15"/>
    <row r="465" ht="30.75" customHeight="1" x14ac:dyDescent="0.15"/>
    <row r="466" ht="30.75" customHeight="1" x14ac:dyDescent="0.15"/>
    <row r="467" ht="30.75" customHeight="1" x14ac:dyDescent="0.15"/>
    <row r="468" ht="30.75" customHeight="1" x14ac:dyDescent="0.15"/>
    <row r="469" ht="30.75" customHeight="1" x14ac:dyDescent="0.15"/>
    <row r="470" ht="30.75" customHeight="1" x14ac:dyDescent="0.15"/>
    <row r="471" ht="30.75" customHeight="1" x14ac:dyDescent="0.15"/>
    <row r="472" ht="30.75" customHeight="1" x14ac:dyDescent="0.15"/>
    <row r="473" ht="30.75" customHeight="1" x14ac:dyDescent="0.15"/>
    <row r="474" ht="30.75" customHeight="1" x14ac:dyDescent="0.15"/>
    <row r="475" ht="30.75" customHeight="1" x14ac:dyDescent="0.15"/>
    <row r="476" ht="30.75" customHeight="1" x14ac:dyDescent="0.15"/>
    <row r="477" ht="30.75" customHeight="1" x14ac:dyDescent="0.15"/>
    <row r="478" ht="30.75" customHeight="1" x14ac:dyDescent="0.15"/>
    <row r="479" ht="30.75" customHeight="1" x14ac:dyDescent="0.15"/>
    <row r="480" ht="30.75" customHeight="1" x14ac:dyDescent="0.15"/>
    <row r="481" ht="30.75" customHeight="1" x14ac:dyDescent="0.15"/>
    <row r="482" ht="30.75" customHeight="1" x14ac:dyDescent="0.15"/>
    <row r="483" ht="30.75" customHeight="1" x14ac:dyDescent="0.15"/>
    <row r="484" ht="30.75" customHeight="1" x14ac:dyDescent="0.15"/>
    <row r="485" ht="30.75" customHeight="1" x14ac:dyDescent="0.15"/>
    <row r="486" ht="30.75" customHeight="1" x14ac:dyDescent="0.15"/>
    <row r="487" ht="30.75" customHeight="1" x14ac:dyDescent="0.15"/>
    <row r="488" ht="30.75" customHeight="1" x14ac:dyDescent="0.15"/>
    <row r="489" ht="30.75" customHeight="1" x14ac:dyDescent="0.15"/>
    <row r="490" ht="30.75" customHeight="1" x14ac:dyDescent="0.15"/>
    <row r="491" ht="30.75" customHeight="1" x14ac:dyDescent="0.15"/>
    <row r="492" ht="30.75" customHeight="1" x14ac:dyDescent="0.15"/>
    <row r="493" ht="30.75" customHeight="1" x14ac:dyDescent="0.15"/>
    <row r="494" ht="30.75" customHeight="1" x14ac:dyDescent="0.15"/>
    <row r="495" ht="30.75" customHeight="1" x14ac:dyDescent="0.15"/>
    <row r="496" ht="30.75" customHeight="1" x14ac:dyDescent="0.15"/>
    <row r="497" ht="30.75" customHeight="1" x14ac:dyDescent="0.15"/>
    <row r="498" ht="30.75" customHeight="1" x14ac:dyDescent="0.15"/>
    <row r="499" ht="30.75" customHeight="1" x14ac:dyDescent="0.15"/>
    <row r="500" ht="30.75" customHeight="1" x14ac:dyDescent="0.15"/>
    <row r="501" ht="30.75" customHeight="1" x14ac:dyDescent="0.15"/>
    <row r="502" ht="30.75" customHeight="1" x14ac:dyDescent="0.15"/>
    <row r="503" ht="30.75" customHeight="1" x14ac:dyDescent="0.15"/>
    <row r="504" ht="30.75" customHeight="1" x14ac:dyDescent="0.15"/>
    <row r="505" ht="30.75" customHeight="1" x14ac:dyDescent="0.15"/>
    <row r="506" ht="30.75" customHeight="1" x14ac:dyDescent="0.15"/>
    <row r="507" ht="30.75" customHeight="1" x14ac:dyDescent="0.15"/>
    <row r="508" ht="30.75" customHeight="1" x14ac:dyDescent="0.15"/>
    <row r="509" ht="30.75" customHeight="1" x14ac:dyDescent="0.15"/>
    <row r="510" ht="30.75" customHeight="1" x14ac:dyDescent="0.15"/>
    <row r="511" ht="30.75" customHeight="1" x14ac:dyDescent="0.15"/>
    <row r="512" ht="30.75" customHeight="1" x14ac:dyDescent="0.15"/>
    <row r="513" ht="30.75" customHeight="1" x14ac:dyDescent="0.15"/>
    <row r="514" ht="30.75" customHeight="1" x14ac:dyDescent="0.15"/>
    <row r="515" ht="30.75" customHeight="1" x14ac:dyDescent="0.15"/>
    <row r="516" ht="30.75" customHeight="1" x14ac:dyDescent="0.15"/>
    <row r="517" ht="30.75" customHeight="1" x14ac:dyDescent="0.15"/>
    <row r="518" ht="30.75" customHeight="1" x14ac:dyDescent="0.15"/>
    <row r="519" ht="30.75" customHeight="1" x14ac:dyDescent="0.15"/>
    <row r="520" ht="30.75" customHeight="1" x14ac:dyDescent="0.15"/>
    <row r="521" ht="30.75" customHeight="1" x14ac:dyDescent="0.15"/>
    <row r="522" ht="30.75" customHeight="1" x14ac:dyDescent="0.15"/>
    <row r="523" ht="30.75" customHeight="1" x14ac:dyDescent="0.15"/>
    <row r="524" ht="30.75" customHeight="1" x14ac:dyDescent="0.15"/>
    <row r="525" ht="30.75" customHeight="1" x14ac:dyDescent="0.15"/>
    <row r="526" ht="30.75" customHeight="1" x14ac:dyDescent="0.15"/>
    <row r="527" ht="30.75" customHeight="1" x14ac:dyDescent="0.15"/>
    <row r="528" ht="30.75" customHeight="1" x14ac:dyDescent="0.15"/>
    <row r="529" ht="30.75" customHeight="1" x14ac:dyDescent="0.15"/>
    <row r="530" ht="30.75" customHeight="1" x14ac:dyDescent="0.15"/>
    <row r="531" ht="30.75" customHeight="1" x14ac:dyDescent="0.15"/>
    <row r="532" ht="30.75" customHeight="1" x14ac:dyDescent="0.15"/>
    <row r="533" ht="30.75" customHeight="1" x14ac:dyDescent="0.15"/>
    <row r="534" ht="30.75" customHeight="1" x14ac:dyDescent="0.15"/>
    <row r="535" ht="30.75" customHeight="1" x14ac:dyDescent="0.15"/>
    <row r="536" ht="30.75" customHeight="1" x14ac:dyDescent="0.15"/>
    <row r="537" ht="30.75" customHeight="1" x14ac:dyDescent="0.15"/>
    <row r="538" ht="30.75" customHeight="1" x14ac:dyDescent="0.15"/>
    <row r="539" ht="30.75" customHeight="1" x14ac:dyDescent="0.15"/>
    <row r="540" ht="30.75" customHeight="1" x14ac:dyDescent="0.15"/>
    <row r="541" ht="30.75" customHeight="1" x14ac:dyDescent="0.15"/>
    <row r="542" ht="30.75" customHeight="1" x14ac:dyDescent="0.15"/>
    <row r="543" ht="30.75" customHeight="1" x14ac:dyDescent="0.15"/>
    <row r="544" ht="30.75" customHeight="1" x14ac:dyDescent="0.15"/>
    <row r="545" ht="30.75" customHeight="1" x14ac:dyDescent="0.15"/>
    <row r="546" ht="30.75" customHeight="1" x14ac:dyDescent="0.15"/>
    <row r="547" ht="30.75" customHeight="1" x14ac:dyDescent="0.15"/>
    <row r="548" ht="30.75" customHeight="1" x14ac:dyDescent="0.15"/>
    <row r="549" ht="30.75" customHeight="1" x14ac:dyDescent="0.15"/>
    <row r="550" ht="30.75" customHeight="1" x14ac:dyDescent="0.15"/>
    <row r="551" ht="30.75" customHeight="1" x14ac:dyDescent="0.15"/>
    <row r="552" ht="30.75" customHeight="1" x14ac:dyDescent="0.15"/>
    <row r="553" ht="30.75" customHeight="1" x14ac:dyDescent="0.15"/>
    <row r="554" ht="30.75" customHeight="1" x14ac:dyDescent="0.15"/>
    <row r="555" ht="30.75" customHeight="1" x14ac:dyDescent="0.15"/>
    <row r="556" ht="30.75" customHeight="1" x14ac:dyDescent="0.15"/>
    <row r="557" ht="30.75" customHeight="1" x14ac:dyDescent="0.15"/>
    <row r="558" ht="30.75" customHeight="1" x14ac:dyDescent="0.15"/>
    <row r="559" ht="30.75" customHeight="1" x14ac:dyDescent="0.15"/>
    <row r="560" ht="30.75" customHeight="1" x14ac:dyDescent="0.15"/>
    <row r="561" ht="30.75" customHeight="1" x14ac:dyDescent="0.15"/>
    <row r="562" ht="30.75" customHeight="1" x14ac:dyDescent="0.15"/>
    <row r="563" ht="30.75" customHeight="1" x14ac:dyDescent="0.15"/>
    <row r="564" ht="30.75" customHeight="1" x14ac:dyDescent="0.15"/>
    <row r="565" ht="30.75" customHeight="1" x14ac:dyDescent="0.15"/>
    <row r="566" ht="30.75" customHeight="1" x14ac:dyDescent="0.15"/>
    <row r="567" ht="30.75" customHeight="1" x14ac:dyDescent="0.15"/>
    <row r="568" ht="30.75" customHeight="1" x14ac:dyDescent="0.15"/>
    <row r="569" ht="30.75" customHeight="1" x14ac:dyDescent="0.15"/>
    <row r="570" ht="30.75" customHeight="1" x14ac:dyDescent="0.15"/>
    <row r="571" ht="30.75" customHeight="1" x14ac:dyDescent="0.15"/>
    <row r="572" ht="30.75" customHeight="1" x14ac:dyDescent="0.15"/>
    <row r="573" ht="30.75" customHeight="1" x14ac:dyDescent="0.15"/>
    <row r="574" ht="30.75" customHeight="1" x14ac:dyDescent="0.15"/>
    <row r="575" ht="30.75" customHeight="1" x14ac:dyDescent="0.15"/>
    <row r="576" ht="30.75" customHeight="1" x14ac:dyDescent="0.15"/>
    <row r="577" ht="30.75" customHeight="1" x14ac:dyDescent="0.15"/>
    <row r="578" ht="30.75" customHeight="1" x14ac:dyDescent="0.15"/>
    <row r="579" ht="30.75" customHeight="1" x14ac:dyDescent="0.15"/>
    <row r="580" ht="30.75" customHeight="1" x14ac:dyDescent="0.15"/>
    <row r="581" ht="30.75" customHeight="1" x14ac:dyDescent="0.15"/>
    <row r="582" ht="30.75" customHeight="1" x14ac:dyDescent="0.15"/>
    <row r="583" ht="30.75" customHeight="1" x14ac:dyDescent="0.15"/>
    <row r="584" ht="30.75" customHeight="1" x14ac:dyDescent="0.15"/>
    <row r="585" ht="30.75" customHeight="1" x14ac:dyDescent="0.15"/>
    <row r="586" ht="30.75" customHeight="1" x14ac:dyDescent="0.15"/>
    <row r="587" ht="30.75" customHeight="1" x14ac:dyDescent="0.15"/>
    <row r="588" ht="30.75" customHeight="1" x14ac:dyDescent="0.15"/>
    <row r="589" ht="30.75" customHeight="1" x14ac:dyDescent="0.15"/>
    <row r="590" ht="30.75" customHeight="1" x14ac:dyDescent="0.15"/>
    <row r="591" ht="30.75" customHeight="1" x14ac:dyDescent="0.15"/>
    <row r="592" ht="30.75" customHeight="1" x14ac:dyDescent="0.15"/>
    <row r="593" ht="30.75" customHeight="1" x14ac:dyDescent="0.15"/>
    <row r="594" ht="30.75" customHeight="1" x14ac:dyDescent="0.15"/>
    <row r="595" ht="30.75" customHeight="1" x14ac:dyDescent="0.15"/>
    <row r="596" ht="30.75" customHeight="1" x14ac:dyDescent="0.15"/>
    <row r="597" ht="30.75" customHeight="1" x14ac:dyDescent="0.15"/>
    <row r="598" ht="30.75" customHeight="1" x14ac:dyDescent="0.15"/>
    <row r="599" ht="30.75" customHeight="1" x14ac:dyDescent="0.15"/>
    <row r="600" ht="30.75" customHeight="1" x14ac:dyDescent="0.15"/>
    <row r="601" ht="30.75" customHeight="1" x14ac:dyDescent="0.15"/>
    <row r="602" ht="30.75" customHeight="1" x14ac:dyDescent="0.15"/>
    <row r="603" ht="30.75" customHeight="1" x14ac:dyDescent="0.15"/>
    <row r="604" ht="30.75" customHeight="1" x14ac:dyDescent="0.15"/>
    <row r="605" ht="30.75" customHeight="1" x14ac:dyDescent="0.15"/>
    <row r="606" ht="30.75" customHeight="1" x14ac:dyDescent="0.15"/>
    <row r="607" ht="30.75" customHeight="1" x14ac:dyDescent="0.15"/>
    <row r="608" ht="30.75" customHeight="1" x14ac:dyDescent="0.15"/>
    <row r="609" ht="30.75" customHeight="1" x14ac:dyDescent="0.15"/>
    <row r="610" ht="30.75" customHeight="1" x14ac:dyDescent="0.15"/>
    <row r="611" ht="30.75" customHeight="1" x14ac:dyDescent="0.15"/>
    <row r="612" ht="30.75" customHeight="1" x14ac:dyDescent="0.15"/>
    <row r="613" ht="30.75" customHeight="1" x14ac:dyDescent="0.15"/>
    <row r="614" ht="30.75" customHeight="1" x14ac:dyDescent="0.15"/>
    <row r="615" ht="30.75" customHeight="1" x14ac:dyDescent="0.15"/>
    <row r="616" ht="30.75" customHeight="1" x14ac:dyDescent="0.15"/>
    <row r="617" ht="30.75" customHeight="1" x14ac:dyDescent="0.15"/>
    <row r="618" ht="30.75" customHeight="1" x14ac:dyDescent="0.15"/>
    <row r="619" ht="30.75" customHeight="1" x14ac:dyDescent="0.15"/>
    <row r="620" ht="30.75" customHeight="1" x14ac:dyDescent="0.15"/>
    <row r="621" ht="30.75" customHeight="1" x14ac:dyDescent="0.15"/>
    <row r="622" ht="30.75" customHeight="1" x14ac:dyDescent="0.15"/>
    <row r="623" ht="30.75" customHeight="1" x14ac:dyDescent="0.15"/>
    <row r="624" ht="30.75" customHeight="1" x14ac:dyDescent="0.15"/>
    <row r="625" ht="30.75" customHeight="1" x14ac:dyDescent="0.15"/>
    <row r="626" ht="30.75" customHeight="1" x14ac:dyDescent="0.15"/>
    <row r="627" ht="30.75" customHeight="1" x14ac:dyDescent="0.15"/>
    <row r="628" ht="30.75" customHeight="1" x14ac:dyDescent="0.15"/>
    <row r="629" ht="30.75" customHeight="1" x14ac:dyDescent="0.15"/>
    <row r="630" ht="30.75" customHeight="1" x14ac:dyDescent="0.15"/>
    <row r="631" ht="30.75" customHeight="1" x14ac:dyDescent="0.15"/>
    <row r="632" ht="30.75" customHeight="1" x14ac:dyDescent="0.15"/>
    <row r="633" ht="30.75" customHeight="1" x14ac:dyDescent="0.15"/>
    <row r="634" ht="30.75" customHeight="1" x14ac:dyDescent="0.15"/>
    <row r="635" ht="30.75" customHeight="1" x14ac:dyDescent="0.15"/>
    <row r="636" ht="30.75" customHeight="1" x14ac:dyDescent="0.15"/>
    <row r="637" ht="30.75" customHeight="1" x14ac:dyDescent="0.15"/>
    <row r="638" ht="30.75" customHeight="1" x14ac:dyDescent="0.15"/>
    <row r="639" ht="30.75" customHeight="1" x14ac:dyDescent="0.15"/>
    <row r="640" ht="30.75" customHeight="1" x14ac:dyDescent="0.15"/>
    <row r="641" ht="30.75" customHeight="1" x14ac:dyDescent="0.15"/>
    <row r="642" ht="30.75" customHeight="1" x14ac:dyDescent="0.15"/>
    <row r="643" ht="30.75" customHeight="1" x14ac:dyDescent="0.15"/>
    <row r="644" ht="30.75" customHeight="1" x14ac:dyDescent="0.15"/>
    <row r="645" ht="30.75" customHeight="1" x14ac:dyDescent="0.15"/>
    <row r="646" ht="30.75" customHeight="1" x14ac:dyDescent="0.15"/>
    <row r="647" ht="30.75" customHeight="1" x14ac:dyDescent="0.15"/>
    <row r="648" ht="30.75" customHeight="1" x14ac:dyDescent="0.15"/>
    <row r="649" ht="30.75" customHeight="1" x14ac:dyDescent="0.15"/>
    <row r="650" ht="30.75" customHeight="1" x14ac:dyDescent="0.15"/>
    <row r="651" ht="30.75" customHeight="1" x14ac:dyDescent="0.15"/>
    <row r="652" ht="30.75" customHeight="1" x14ac:dyDescent="0.15"/>
    <row r="653" ht="30.75" customHeight="1" x14ac:dyDescent="0.15"/>
    <row r="654" ht="30.75" customHeight="1" x14ac:dyDescent="0.15"/>
    <row r="655" ht="30.75" customHeight="1" x14ac:dyDescent="0.15"/>
    <row r="656" ht="30.75" customHeight="1" x14ac:dyDescent="0.15"/>
    <row r="657" ht="30.75" customHeight="1" x14ac:dyDescent="0.15"/>
    <row r="658" ht="30.75" customHeight="1" x14ac:dyDescent="0.15"/>
    <row r="659" ht="30.75" customHeight="1" x14ac:dyDescent="0.15"/>
    <row r="660" ht="30.75" customHeight="1" x14ac:dyDescent="0.15"/>
    <row r="661" ht="30.75" customHeight="1" x14ac:dyDescent="0.15"/>
    <row r="662" ht="30.75" customHeight="1" x14ac:dyDescent="0.15"/>
    <row r="663" ht="30.75" customHeight="1" x14ac:dyDescent="0.15"/>
    <row r="664" ht="30.75" customHeight="1" x14ac:dyDescent="0.15"/>
    <row r="665" ht="30.75" customHeight="1" x14ac:dyDescent="0.15"/>
    <row r="666" ht="30.75" customHeight="1" x14ac:dyDescent="0.15"/>
    <row r="667" ht="30.75" customHeight="1" x14ac:dyDescent="0.15"/>
    <row r="668" ht="30.75" customHeight="1" x14ac:dyDescent="0.15"/>
    <row r="669" ht="30.75" customHeight="1" x14ac:dyDescent="0.15"/>
    <row r="670" ht="30.75" customHeight="1" x14ac:dyDescent="0.15"/>
    <row r="671" ht="30.75" customHeight="1" x14ac:dyDescent="0.15"/>
    <row r="672" ht="30.75" customHeight="1" x14ac:dyDescent="0.15"/>
    <row r="673" ht="30.75" customHeight="1" x14ac:dyDescent="0.15"/>
    <row r="674" ht="30.75" customHeight="1" x14ac:dyDescent="0.15"/>
    <row r="675" ht="30.75" customHeight="1" x14ac:dyDescent="0.15"/>
    <row r="676" ht="30.75" customHeight="1" x14ac:dyDescent="0.15"/>
    <row r="677" ht="30.75" customHeight="1" x14ac:dyDescent="0.15"/>
    <row r="678" ht="30.75" customHeight="1" x14ac:dyDescent="0.15"/>
    <row r="679" ht="30.75" customHeight="1" x14ac:dyDescent="0.15"/>
    <row r="680" ht="30.75" customHeight="1" x14ac:dyDescent="0.15"/>
    <row r="681" ht="30.75" customHeight="1" x14ac:dyDescent="0.15"/>
    <row r="682" ht="30.75" customHeight="1" x14ac:dyDescent="0.15"/>
    <row r="683" ht="30.75" customHeight="1" x14ac:dyDescent="0.15"/>
    <row r="684" ht="30.75" customHeight="1" x14ac:dyDescent="0.15"/>
    <row r="685" ht="30.75" customHeight="1" x14ac:dyDescent="0.15"/>
    <row r="686" ht="30.75" customHeight="1" x14ac:dyDescent="0.15"/>
    <row r="687" ht="30.75" customHeight="1" x14ac:dyDescent="0.15"/>
    <row r="688" ht="30.75" customHeight="1" x14ac:dyDescent="0.15"/>
    <row r="689" ht="30.75" customHeight="1" x14ac:dyDescent="0.15"/>
    <row r="690" ht="30.75" customHeight="1" x14ac:dyDescent="0.15"/>
    <row r="691" ht="30.75" customHeight="1" x14ac:dyDescent="0.15"/>
    <row r="692" ht="30.75" customHeight="1" x14ac:dyDescent="0.15"/>
    <row r="693" ht="30.75" customHeight="1" x14ac:dyDescent="0.15"/>
    <row r="694" ht="30.75" customHeight="1" x14ac:dyDescent="0.15"/>
    <row r="695" ht="30.75" customHeight="1" x14ac:dyDescent="0.15"/>
    <row r="696" ht="30.75" customHeight="1" x14ac:dyDescent="0.15"/>
    <row r="697" ht="30.75" customHeight="1" x14ac:dyDescent="0.15"/>
    <row r="698" ht="30.75" customHeight="1" x14ac:dyDescent="0.15"/>
    <row r="699" ht="30.75" customHeight="1" x14ac:dyDescent="0.15"/>
    <row r="700" ht="30.75" customHeight="1" x14ac:dyDescent="0.15"/>
    <row r="701" ht="30.75" customHeight="1" x14ac:dyDescent="0.15"/>
    <row r="702" ht="30.75" customHeight="1" x14ac:dyDescent="0.15"/>
    <row r="703" ht="30.75" customHeight="1" x14ac:dyDescent="0.15"/>
    <row r="704" ht="30.75" customHeight="1" x14ac:dyDescent="0.15"/>
    <row r="705" ht="30.75" customHeight="1" x14ac:dyDescent="0.15"/>
    <row r="706" ht="30.75" customHeight="1" x14ac:dyDescent="0.15"/>
    <row r="707" ht="30.75" customHeight="1" x14ac:dyDescent="0.15"/>
    <row r="708" ht="30.75" customHeight="1" x14ac:dyDescent="0.15"/>
    <row r="709" ht="30.75" customHeight="1" x14ac:dyDescent="0.15"/>
    <row r="710" ht="30.75" customHeight="1" x14ac:dyDescent="0.15"/>
    <row r="711" ht="30.75" customHeight="1" x14ac:dyDescent="0.15"/>
    <row r="712" ht="30.75" customHeight="1" x14ac:dyDescent="0.15"/>
    <row r="713" ht="30.75" customHeight="1" x14ac:dyDescent="0.15"/>
    <row r="714" ht="30.75" customHeight="1" x14ac:dyDescent="0.15"/>
    <row r="715" ht="30.75" customHeight="1" x14ac:dyDescent="0.15"/>
    <row r="716" ht="30.75" customHeight="1" x14ac:dyDescent="0.15"/>
    <row r="717" ht="30.75" customHeight="1" x14ac:dyDescent="0.15"/>
    <row r="718" ht="30.75" customHeight="1" x14ac:dyDescent="0.15"/>
    <row r="719" ht="30.75" customHeight="1" x14ac:dyDescent="0.15"/>
    <row r="720" ht="30.75" customHeight="1" x14ac:dyDescent="0.15"/>
    <row r="721" ht="30.75" customHeight="1" x14ac:dyDescent="0.15"/>
    <row r="722" ht="30.75" customHeight="1" x14ac:dyDescent="0.15"/>
    <row r="723" ht="30.75" customHeight="1" x14ac:dyDescent="0.15"/>
    <row r="724" ht="30.75" customHeight="1" x14ac:dyDescent="0.15"/>
    <row r="725" ht="30.75" customHeight="1" x14ac:dyDescent="0.15"/>
    <row r="726" ht="30.75" customHeight="1" x14ac:dyDescent="0.15"/>
    <row r="727" ht="30.75" customHeight="1" x14ac:dyDescent="0.15"/>
    <row r="728" ht="30.75" customHeight="1" x14ac:dyDescent="0.15"/>
    <row r="729" ht="30.75" customHeight="1" x14ac:dyDescent="0.15"/>
    <row r="730" ht="30.75" customHeight="1" x14ac:dyDescent="0.15"/>
    <row r="731" ht="30.75" customHeight="1" x14ac:dyDescent="0.15"/>
    <row r="732" ht="30.75" customHeight="1" x14ac:dyDescent="0.15"/>
    <row r="733" ht="30.75" customHeight="1" x14ac:dyDescent="0.15"/>
    <row r="734" ht="30.75" customHeight="1" x14ac:dyDescent="0.15"/>
    <row r="735" ht="30.75" customHeight="1" x14ac:dyDescent="0.15"/>
    <row r="736" ht="30.75" customHeight="1" x14ac:dyDescent="0.15"/>
    <row r="737" ht="30.75" customHeight="1" x14ac:dyDescent="0.15"/>
    <row r="738" ht="30.75" customHeight="1" x14ac:dyDescent="0.15"/>
    <row r="739" ht="30.75" customHeight="1" x14ac:dyDescent="0.15"/>
    <row r="740" ht="30.75" customHeight="1" x14ac:dyDescent="0.15"/>
    <row r="741" ht="30.75" customHeight="1" x14ac:dyDescent="0.15"/>
    <row r="742" ht="30.75" customHeight="1" x14ac:dyDescent="0.15"/>
    <row r="743" ht="30.75" customHeight="1" x14ac:dyDescent="0.15"/>
    <row r="744" ht="30.75" customHeight="1" x14ac:dyDescent="0.15"/>
    <row r="745" ht="30.75" customHeight="1" x14ac:dyDescent="0.15"/>
    <row r="746" ht="30.75" customHeight="1" x14ac:dyDescent="0.15"/>
    <row r="747" ht="30.75" customHeight="1" x14ac:dyDescent="0.15"/>
    <row r="748" ht="30.75" customHeight="1" x14ac:dyDescent="0.15"/>
    <row r="749" ht="30.75" customHeight="1" x14ac:dyDescent="0.15"/>
    <row r="750" ht="30.75" customHeight="1" x14ac:dyDescent="0.15"/>
    <row r="751" ht="30.75" customHeight="1" x14ac:dyDescent="0.15"/>
    <row r="752" ht="30.75" customHeight="1" x14ac:dyDescent="0.15"/>
    <row r="753" ht="30.75" customHeight="1" x14ac:dyDescent="0.15"/>
    <row r="754" ht="30.75" customHeight="1" x14ac:dyDescent="0.15"/>
    <row r="755" ht="30.75" customHeight="1" x14ac:dyDescent="0.15"/>
    <row r="756" ht="30.75" customHeight="1" x14ac:dyDescent="0.15"/>
    <row r="757" ht="30.75" customHeight="1" x14ac:dyDescent="0.15"/>
    <row r="758" ht="30.75" customHeight="1" x14ac:dyDescent="0.15"/>
    <row r="759" ht="30.75" customHeight="1" x14ac:dyDescent="0.15"/>
    <row r="760" ht="30.75" customHeight="1" x14ac:dyDescent="0.15"/>
    <row r="761" ht="30.75" customHeight="1" x14ac:dyDescent="0.15"/>
    <row r="762" ht="30.75" customHeight="1" x14ac:dyDescent="0.15"/>
    <row r="763" ht="30.75" customHeight="1" x14ac:dyDescent="0.15"/>
    <row r="764" ht="30.75" customHeight="1" x14ac:dyDescent="0.15"/>
    <row r="765" ht="30.75" customHeight="1" x14ac:dyDescent="0.15"/>
    <row r="766" ht="30.75" customHeight="1" x14ac:dyDescent="0.15"/>
    <row r="767" ht="30.75" customHeight="1" x14ac:dyDescent="0.15"/>
    <row r="768" ht="30.75" customHeight="1" x14ac:dyDescent="0.15"/>
    <row r="769" ht="30.75" customHeight="1" x14ac:dyDescent="0.15"/>
    <row r="770" ht="30.75" customHeight="1" x14ac:dyDescent="0.15"/>
    <row r="771" ht="30.75" customHeight="1" x14ac:dyDescent="0.15"/>
    <row r="772" ht="30.75" customHeight="1" x14ac:dyDescent="0.15"/>
    <row r="773" ht="30.75" customHeight="1" x14ac:dyDescent="0.15"/>
    <row r="774" ht="30.75" customHeight="1" x14ac:dyDescent="0.15"/>
    <row r="775" ht="30.75" customHeight="1" x14ac:dyDescent="0.15"/>
    <row r="776" ht="30.75" customHeight="1" x14ac:dyDescent="0.15"/>
    <row r="777" ht="30.75" customHeight="1" x14ac:dyDescent="0.15"/>
    <row r="778" ht="30.75" customHeight="1" x14ac:dyDescent="0.15"/>
    <row r="779" ht="30.75" customHeight="1" x14ac:dyDescent="0.15"/>
    <row r="780" ht="30.75" customHeight="1" x14ac:dyDescent="0.15"/>
    <row r="781" ht="30.75" customHeight="1" x14ac:dyDescent="0.15"/>
    <row r="782" ht="30.75" customHeight="1" x14ac:dyDescent="0.15"/>
    <row r="783" ht="30.75" customHeight="1" x14ac:dyDescent="0.15"/>
    <row r="784" ht="30.75" customHeight="1" x14ac:dyDescent="0.15"/>
    <row r="785" ht="30.75" customHeight="1" x14ac:dyDescent="0.15"/>
    <row r="786" ht="30.75" customHeight="1" x14ac:dyDescent="0.15"/>
    <row r="787" ht="30.75" customHeight="1" x14ac:dyDescent="0.15"/>
    <row r="788" ht="30.75" customHeight="1" x14ac:dyDescent="0.15"/>
    <row r="789" ht="30.75" customHeight="1" x14ac:dyDescent="0.15"/>
    <row r="790" ht="30.75" customHeight="1" x14ac:dyDescent="0.15"/>
    <row r="791" ht="30.75" customHeight="1" x14ac:dyDescent="0.15"/>
    <row r="792" ht="30.75" customHeight="1" x14ac:dyDescent="0.15"/>
    <row r="793" ht="30.75" customHeight="1" x14ac:dyDescent="0.15"/>
    <row r="794" ht="30.75" customHeight="1" x14ac:dyDescent="0.15"/>
    <row r="795" ht="30.75" customHeight="1" x14ac:dyDescent="0.15"/>
    <row r="796" ht="30.75" customHeight="1" x14ac:dyDescent="0.15"/>
    <row r="797" ht="30.75" customHeight="1" x14ac:dyDescent="0.15"/>
    <row r="798" ht="30.75" customHeight="1" x14ac:dyDescent="0.15"/>
    <row r="799" ht="30.75" customHeight="1" x14ac:dyDescent="0.15"/>
    <row r="800" ht="30.75" customHeight="1" x14ac:dyDescent="0.15"/>
    <row r="801" ht="30.75" customHeight="1" x14ac:dyDescent="0.15"/>
    <row r="802" ht="30.75" customHeight="1" x14ac:dyDescent="0.15"/>
    <row r="803" ht="30.75" customHeight="1" x14ac:dyDescent="0.15"/>
    <row r="804" ht="30.75" customHeight="1" x14ac:dyDescent="0.15"/>
    <row r="805" ht="30.75" customHeight="1" x14ac:dyDescent="0.15"/>
    <row r="806" ht="30.75" customHeight="1" x14ac:dyDescent="0.15"/>
    <row r="807" ht="30.75" customHeight="1" x14ac:dyDescent="0.15"/>
    <row r="808" ht="30.75" customHeight="1" x14ac:dyDescent="0.15"/>
    <row r="809" ht="30.75" customHeight="1" x14ac:dyDescent="0.15"/>
    <row r="810" ht="30.75" customHeight="1" x14ac:dyDescent="0.15"/>
    <row r="811" ht="30.75" customHeight="1" x14ac:dyDescent="0.15"/>
    <row r="812" ht="30.75" customHeight="1" x14ac:dyDescent="0.15"/>
    <row r="813" ht="30.75" customHeight="1" x14ac:dyDescent="0.15"/>
    <row r="814" ht="30.75" customHeight="1" x14ac:dyDescent="0.15"/>
    <row r="815" ht="30.75" customHeight="1" x14ac:dyDescent="0.15"/>
    <row r="816" ht="30.75" customHeight="1" x14ac:dyDescent="0.15"/>
    <row r="817" ht="30.75" customHeight="1" x14ac:dyDescent="0.15"/>
    <row r="818" ht="30.75" customHeight="1" x14ac:dyDescent="0.15"/>
    <row r="819" ht="30.75" customHeight="1" x14ac:dyDescent="0.15"/>
    <row r="820" ht="30.75" customHeight="1" x14ac:dyDescent="0.15"/>
    <row r="821" ht="30.75" customHeight="1" x14ac:dyDescent="0.15"/>
    <row r="822" ht="30.75" customHeight="1" x14ac:dyDescent="0.15"/>
    <row r="823" ht="30.75" customHeight="1" x14ac:dyDescent="0.15"/>
    <row r="824" ht="30.75" customHeight="1" x14ac:dyDescent="0.15"/>
    <row r="825" ht="30.75" customHeight="1" x14ac:dyDescent="0.15"/>
    <row r="826" ht="30.75" customHeight="1" x14ac:dyDescent="0.15"/>
    <row r="827" ht="30.75" customHeight="1" x14ac:dyDescent="0.15"/>
    <row r="828" ht="30.75" customHeight="1" x14ac:dyDescent="0.15"/>
    <row r="829" ht="30.75" customHeight="1" x14ac:dyDescent="0.15"/>
    <row r="830" ht="30.75" customHeight="1" x14ac:dyDescent="0.15"/>
    <row r="831" ht="30.75" customHeight="1" x14ac:dyDescent="0.15"/>
    <row r="832" ht="30.75" customHeight="1" x14ac:dyDescent="0.15"/>
    <row r="833" ht="30.75" customHeight="1" x14ac:dyDescent="0.15"/>
    <row r="834" ht="30.75" customHeight="1" x14ac:dyDescent="0.15"/>
    <row r="835" ht="30.75" customHeight="1" x14ac:dyDescent="0.15"/>
    <row r="836" ht="30.75" customHeight="1" x14ac:dyDescent="0.15"/>
    <row r="837" ht="30.75" customHeight="1" x14ac:dyDescent="0.15"/>
    <row r="838" ht="30.75" customHeight="1" x14ac:dyDescent="0.15"/>
    <row r="839" ht="30.75" customHeight="1" x14ac:dyDescent="0.15"/>
    <row r="840" ht="30.75" customHeight="1" x14ac:dyDescent="0.15"/>
    <row r="841" ht="30.75" customHeight="1" x14ac:dyDescent="0.15"/>
    <row r="842" ht="30.75" customHeight="1" x14ac:dyDescent="0.15"/>
    <row r="843" ht="30.75" customHeight="1" x14ac:dyDescent="0.15"/>
    <row r="844" ht="30.75" customHeight="1" x14ac:dyDescent="0.15"/>
    <row r="845" ht="30.75" customHeight="1" x14ac:dyDescent="0.15"/>
    <row r="846" ht="30.75" customHeight="1" x14ac:dyDescent="0.15"/>
    <row r="847" ht="30.75" customHeight="1" x14ac:dyDescent="0.15"/>
    <row r="848" ht="30.75" customHeight="1" x14ac:dyDescent="0.15"/>
    <row r="849" ht="30.75" customHeight="1" x14ac:dyDescent="0.15"/>
    <row r="850" ht="30.75" customHeight="1" x14ac:dyDescent="0.15"/>
    <row r="851" ht="30.75" customHeight="1" x14ac:dyDescent="0.15"/>
    <row r="852" ht="30.75" customHeight="1" x14ac:dyDescent="0.15"/>
    <row r="853" ht="30.75" customHeight="1" x14ac:dyDescent="0.15"/>
    <row r="854" ht="30.75" customHeight="1" x14ac:dyDescent="0.15"/>
    <row r="855" ht="30.75" customHeight="1" x14ac:dyDescent="0.15"/>
    <row r="856" ht="30.75" customHeight="1" x14ac:dyDescent="0.15"/>
    <row r="857" ht="30.75" customHeight="1" x14ac:dyDescent="0.15"/>
    <row r="858" ht="30.75" customHeight="1" x14ac:dyDescent="0.15"/>
    <row r="859" ht="30.75" customHeight="1" x14ac:dyDescent="0.15"/>
    <row r="860" ht="30.75" customHeight="1" x14ac:dyDescent="0.15"/>
    <row r="861" ht="30.75" customHeight="1" x14ac:dyDescent="0.15"/>
    <row r="862" ht="30.75" customHeight="1" x14ac:dyDescent="0.15"/>
    <row r="863" ht="30.75" customHeight="1" x14ac:dyDescent="0.15"/>
    <row r="864" ht="30.75" customHeight="1" x14ac:dyDescent="0.15"/>
    <row r="865" ht="30.75" customHeight="1" x14ac:dyDescent="0.15"/>
    <row r="866" ht="30.75" customHeight="1" x14ac:dyDescent="0.15"/>
    <row r="867" ht="30.75" customHeight="1" x14ac:dyDescent="0.15"/>
    <row r="868" ht="30.75" customHeight="1" x14ac:dyDescent="0.15"/>
    <row r="869" ht="30.75" customHeight="1" x14ac:dyDescent="0.15"/>
    <row r="870" ht="30.75" customHeight="1" x14ac:dyDescent="0.15"/>
    <row r="871" ht="30.75" customHeight="1" x14ac:dyDescent="0.15"/>
    <row r="872" ht="30.75" customHeight="1" x14ac:dyDescent="0.15"/>
    <row r="873" ht="30.75" customHeight="1" x14ac:dyDescent="0.15"/>
    <row r="874" ht="30.75" customHeight="1" x14ac:dyDescent="0.15"/>
    <row r="875" ht="30.75" customHeight="1" x14ac:dyDescent="0.15"/>
    <row r="876" ht="30.75" customHeight="1" x14ac:dyDescent="0.15"/>
    <row r="877" ht="30.75" customHeight="1" x14ac:dyDescent="0.15"/>
    <row r="878" ht="30.75" customHeight="1" x14ac:dyDescent="0.15"/>
    <row r="879" ht="30.75" customHeight="1" x14ac:dyDescent="0.15"/>
    <row r="880" ht="30.75" customHeight="1" x14ac:dyDescent="0.15"/>
    <row r="881" ht="30.75" customHeight="1" x14ac:dyDescent="0.15"/>
    <row r="882" ht="30.75" customHeight="1" x14ac:dyDescent="0.15"/>
    <row r="883" ht="30.75" customHeight="1" x14ac:dyDescent="0.15"/>
    <row r="884" ht="30.75" customHeight="1" x14ac:dyDescent="0.15"/>
    <row r="885" ht="30.75" customHeight="1" x14ac:dyDescent="0.15"/>
    <row r="886" ht="30.75" customHeight="1" x14ac:dyDescent="0.15"/>
    <row r="887" ht="30.75" customHeight="1" x14ac:dyDescent="0.15"/>
    <row r="888" ht="30.75" customHeight="1" x14ac:dyDescent="0.15"/>
    <row r="889" ht="30.75" customHeight="1" x14ac:dyDescent="0.15"/>
    <row r="890" ht="30.75" customHeight="1" x14ac:dyDescent="0.15"/>
    <row r="891" ht="30.75" customHeight="1" x14ac:dyDescent="0.15"/>
    <row r="892" ht="30.75" customHeight="1" x14ac:dyDescent="0.15"/>
    <row r="893" ht="30.75" customHeight="1" x14ac:dyDescent="0.15"/>
    <row r="894" ht="30.75" customHeight="1" x14ac:dyDescent="0.15"/>
    <row r="895" ht="30.75" customHeight="1" x14ac:dyDescent="0.15"/>
    <row r="896" ht="30.75" customHeight="1" x14ac:dyDescent="0.15"/>
    <row r="897" ht="30.75" customHeight="1" x14ac:dyDescent="0.15"/>
    <row r="898" ht="30.75" customHeight="1" x14ac:dyDescent="0.15"/>
    <row r="899" ht="30.75" customHeight="1" x14ac:dyDescent="0.15"/>
    <row r="900" ht="30.75" customHeight="1" x14ac:dyDescent="0.15"/>
    <row r="901" ht="30.75" customHeight="1" x14ac:dyDescent="0.15"/>
    <row r="902" ht="30.75" customHeight="1" x14ac:dyDescent="0.15"/>
    <row r="903" ht="30.75" customHeight="1" x14ac:dyDescent="0.15"/>
    <row r="904" ht="30.75" customHeight="1" x14ac:dyDescent="0.15"/>
    <row r="905" ht="30.75" customHeight="1" x14ac:dyDescent="0.15"/>
    <row r="906" ht="30.75" customHeight="1" x14ac:dyDescent="0.15"/>
    <row r="907" ht="30.75" customHeight="1" x14ac:dyDescent="0.15"/>
    <row r="908" ht="30.75" customHeight="1" x14ac:dyDescent="0.15"/>
    <row r="909" ht="30.75" customHeight="1" x14ac:dyDescent="0.15"/>
    <row r="910" ht="30.75" customHeight="1" x14ac:dyDescent="0.15"/>
    <row r="911" ht="30.75" customHeight="1" x14ac:dyDescent="0.15"/>
    <row r="912" ht="30.75" customHeight="1" x14ac:dyDescent="0.15"/>
    <row r="913" ht="30.75" customHeight="1" x14ac:dyDescent="0.15"/>
    <row r="914" ht="30.75" customHeight="1" x14ac:dyDescent="0.15"/>
    <row r="915" ht="30.75" customHeight="1" x14ac:dyDescent="0.15"/>
    <row r="916" ht="30.75" customHeight="1" x14ac:dyDescent="0.15"/>
    <row r="917" ht="30.75" customHeight="1" x14ac:dyDescent="0.15"/>
    <row r="918" ht="30.75" customHeight="1" x14ac:dyDescent="0.15"/>
    <row r="919" ht="30.75" customHeight="1" x14ac:dyDescent="0.15"/>
    <row r="920" ht="30.75" customHeight="1" x14ac:dyDescent="0.15"/>
    <row r="921" ht="30.75" customHeight="1" x14ac:dyDescent="0.15"/>
    <row r="922" ht="30.75" customHeight="1" x14ac:dyDescent="0.15"/>
    <row r="923" ht="30.75" customHeight="1" x14ac:dyDescent="0.15"/>
    <row r="924" ht="30.75" customHeight="1" x14ac:dyDescent="0.15"/>
    <row r="925" ht="30.75" customHeight="1" x14ac:dyDescent="0.15"/>
    <row r="926" ht="30.75" customHeight="1" x14ac:dyDescent="0.15"/>
    <row r="927" ht="30.75" customHeight="1" x14ac:dyDescent="0.15"/>
    <row r="928" ht="30.75" customHeight="1" x14ac:dyDescent="0.15"/>
    <row r="929" ht="30.75" customHeight="1" x14ac:dyDescent="0.15"/>
  </sheetData>
  <conditionalFormatting sqref="B5:B10">
    <cfRule type="cellIs" dxfId="159" priority="255" operator="equal">
      <formula>"No"</formula>
    </cfRule>
    <cfRule type="cellIs" dxfId="158" priority="254" operator="equal">
      <formula>"No"</formula>
    </cfRule>
    <cfRule type="cellIs" dxfId="157" priority="253" operator="equal">
      <formula>"Partial"</formula>
    </cfRule>
    <cfRule type="cellIs" dxfId="156" priority="256" operator="equal">
      <formula>"Yes"</formula>
    </cfRule>
  </conditionalFormatting>
  <conditionalFormatting sqref="B12:B16">
    <cfRule type="cellIs" dxfId="155" priority="93" operator="equal">
      <formula>"Partial"</formula>
    </cfRule>
    <cfRule type="cellIs" dxfId="154" priority="96" operator="equal">
      <formula>"Yes"</formula>
    </cfRule>
    <cfRule type="cellIs" dxfId="153" priority="95" operator="equal">
      <formula>"No"</formula>
    </cfRule>
    <cfRule type="cellIs" dxfId="152" priority="94" operator="equal">
      <formula>"No"</formula>
    </cfRule>
  </conditionalFormatting>
  <conditionalFormatting sqref="B18:B22">
    <cfRule type="cellIs" dxfId="151" priority="88" operator="equal">
      <formula>"Yes"</formula>
    </cfRule>
    <cfRule type="cellIs" dxfId="150" priority="85" operator="equal">
      <formula>"Partial"</formula>
    </cfRule>
    <cfRule type="cellIs" dxfId="149" priority="87" operator="equal">
      <formula>"No"</formula>
    </cfRule>
    <cfRule type="cellIs" dxfId="148" priority="86" operator="equal">
      <formula>"No"</formula>
    </cfRule>
  </conditionalFormatting>
  <conditionalFormatting sqref="B24:B28">
    <cfRule type="cellIs" dxfId="147" priority="241" operator="equal">
      <formula>"Partial"</formula>
    </cfRule>
    <cfRule type="cellIs" dxfId="146" priority="243" operator="equal">
      <formula>"No"</formula>
    </cfRule>
    <cfRule type="cellIs" dxfId="145" priority="244" operator="equal">
      <formula>"Yes"</formula>
    </cfRule>
    <cfRule type="cellIs" dxfId="144" priority="242" operator="equal">
      <formula>"No"</formula>
    </cfRule>
  </conditionalFormatting>
  <conditionalFormatting sqref="B31:B35">
    <cfRule type="cellIs" dxfId="143" priority="238" operator="equal">
      <formula>"No"</formula>
    </cfRule>
    <cfRule type="cellIs" dxfId="142" priority="239" operator="equal">
      <formula>"No"</formula>
    </cfRule>
    <cfRule type="cellIs" dxfId="141" priority="240" operator="equal">
      <formula>"Yes"</formula>
    </cfRule>
    <cfRule type="cellIs" dxfId="140" priority="237" operator="equal">
      <formula>"Partial"</formula>
    </cfRule>
  </conditionalFormatting>
  <conditionalFormatting sqref="B37:B41">
    <cfRule type="cellIs" dxfId="139" priority="236" operator="equal">
      <formula>"Yes"</formula>
    </cfRule>
    <cfRule type="cellIs" dxfId="138" priority="234" operator="equal">
      <formula>"No"</formula>
    </cfRule>
    <cfRule type="cellIs" dxfId="137" priority="235" operator="equal">
      <formula>"No"</formula>
    </cfRule>
    <cfRule type="cellIs" dxfId="136" priority="233" operator="equal">
      <formula>"Partial"</formula>
    </cfRule>
  </conditionalFormatting>
  <conditionalFormatting sqref="B43:B47">
    <cfRule type="cellIs" dxfId="135" priority="229" operator="equal">
      <formula>"Partial"</formula>
    </cfRule>
    <cfRule type="cellIs" dxfId="134" priority="230" operator="equal">
      <formula>"No"</formula>
    </cfRule>
    <cfRule type="cellIs" dxfId="133" priority="231" operator="equal">
      <formula>"No"</formula>
    </cfRule>
    <cfRule type="cellIs" dxfId="132" priority="232" operator="equal">
      <formula>"Yes"</formula>
    </cfRule>
  </conditionalFormatting>
  <conditionalFormatting sqref="B49:B53">
    <cfRule type="cellIs" dxfId="131" priority="226" operator="equal">
      <formula>"No"</formula>
    </cfRule>
    <cfRule type="cellIs" dxfId="130" priority="227" operator="equal">
      <formula>"No"</formula>
    </cfRule>
    <cfRule type="cellIs" dxfId="129" priority="228" operator="equal">
      <formula>"Yes"</formula>
    </cfRule>
    <cfRule type="cellIs" dxfId="128" priority="225" operator="equal">
      <formula>"Partial"</formula>
    </cfRule>
  </conditionalFormatting>
  <conditionalFormatting sqref="B56:B60">
    <cfRule type="cellIs" dxfId="127" priority="81" operator="equal">
      <formula>"Partial"</formula>
    </cfRule>
    <cfRule type="cellIs" dxfId="126" priority="84" operator="equal">
      <formula>"Yes"</formula>
    </cfRule>
    <cfRule type="cellIs" dxfId="125" priority="83" operator="equal">
      <formula>"No"</formula>
    </cfRule>
    <cfRule type="cellIs" dxfId="124" priority="82" operator="equal">
      <formula>"No"</formula>
    </cfRule>
  </conditionalFormatting>
  <conditionalFormatting sqref="B62:B66">
    <cfRule type="cellIs" dxfId="123" priority="220" operator="equal">
      <formula>"Yes"</formula>
    </cfRule>
    <cfRule type="cellIs" dxfId="122" priority="217" operator="equal">
      <formula>"Partial"</formula>
    </cfRule>
    <cfRule type="cellIs" dxfId="121" priority="218" operator="equal">
      <formula>"No"</formula>
    </cfRule>
    <cfRule type="cellIs" dxfId="120" priority="219" operator="equal">
      <formula>"No"</formula>
    </cfRule>
  </conditionalFormatting>
  <conditionalFormatting sqref="B68:B72">
    <cfRule type="cellIs" dxfId="119" priority="214" operator="equal">
      <formula>"No"</formula>
    </cfRule>
    <cfRule type="cellIs" dxfId="118" priority="215" operator="equal">
      <formula>"No"</formula>
    </cfRule>
    <cfRule type="cellIs" dxfId="117" priority="213" operator="equal">
      <formula>"Partial"</formula>
    </cfRule>
    <cfRule type="cellIs" dxfId="116" priority="216" operator="equal">
      <formula>"Yes"</formula>
    </cfRule>
  </conditionalFormatting>
  <conditionalFormatting sqref="B74:B78">
    <cfRule type="cellIs" dxfId="115" priority="77" operator="equal">
      <formula>"Partial"</formula>
    </cfRule>
    <cfRule type="cellIs" dxfId="114" priority="80" operator="equal">
      <formula>"Yes"</formula>
    </cfRule>
    <cfRule type="cellIs" dxfId="113" priority="79" operator="equal">
      <formula>"No"</formula>
    </cfRule>
    <cfRule type="cellIs" dxfId="112" priority="78" operator="equal">
      <formula>"No"</formula>
    </cfRule>
  </conditionalFormatting>
  <conditionalFormatting sqref="B81:B85">
    <cfRule type="cellIs" dxfId="111" priority="208" operator="equal">
      <formula>"Yes"</formula>
    </cfRule>
    <cfRule type="cellIs" dxfId="110" priority="207" operator="equal">
      <formula>"No"</formula>
    </cfRule>
    <cfRule type="cellIs" dxfId="109" priority="205" operator="equal">
      <formula>"Partial"</formula>
    </cfRule>
    <cfRule type="cellIs" dxfId="108" priority="206" operator="equal">
      <formula>"No"</formula>
    </cfRule>
  </conditionalFormatting>
  <conditionalFormatting sqref="B87:B91">
    <cfRule type="cellIs" dxfId="107" priority="69" operator="equal">
      <formula>"Partial"</formula>
    </cfRule>
    <cfRule type="cellIs" dxfId="106" priority="70" operator="equal">
      <formula>"No"</formula>
    </cfRule>
    <cfRule type="cellIs" dxfId="105" priority="71" operator="equal">
      <formula>"No"</formula>
    </cfRule>
    <cfRule type="cellIs" dxfId="104" priority="72" operator="equal">
      <formula>"Yes"</formula>
    </cfRule>
  </conditionalFormatting>
  <conditionalFormatting sqref="B93:B97">
    <cfRule type="cellIs" dxfId="103" priority="65" operator="equal">
      <formula>"Partial"</formula>
    </cfRule>
    <cfRule type="cellIs" dxfId="102" priority="66" operator="equal">
      <formula>"No"</formula>
    </cfRule>
    <cfRule type="cellIs" dxfId="101" priority="67" operator="equal">
      <formula>"No"</formula>
    </cfRule>
    <cfRule type="cellIs" dxfId="100" priority="68" operator="equal">
      <formula>"Yes"</formula>
    </cfRule>
  </conditionalFormatting>
  <conditionalFormatting sqref="B99:B103">
    <cfRule type="cellIs" dxfId="99" priority="61" operator="equal">
      <formula>"Partial"</formula>
    </cfRule>
    <cfRule type="cellIs" dxfId="98" priority="62" operator="equal">
      <formula>"No"</formula>
    </cfRule>
    <cfRule type="cellIs" dxfId="97" priority="63" operator="equal">
      <formula>"No"</formula>
    </cfRule>
    <cfRule type="cellIs" dxfId="96" priority="64" operator="equal">
      <formula>"Yes"</formula>
    </cfRule>
  </conditionalFormatting>
  <conditionalFormatting sqref="B106:B110">
    <cfRule type="cellIs" dxfId="95" priority="189" operator="equal">
      <formula>"Partial"</formula>
    </cfRule>
    <cfRule type="cellIs" dxfId="94" priority="190" operator="equal">
      <formula>"No"</formula>
    </cfRule>
    <cfRule type="cellIs" dxfId="93" priority="191" operator="equal">
      <formula>"No"</formula>
    </cfRule>
    <cfRule type="cellIs" dxfId="92" priority="192" operator="equal">
      <formula>"Yes"</formula>
    </cfRule>
  </conditionalFormatting>
  <conditionalFormatting sqref="B112:B116">
    <cfRule type="cellIs" dxfId="91" priority="186" operator="equal">
      <formula>"No"</formula>
    </cfRule>
    <cfRule type="cellIs" dxfId="90" priority="187" operator="equal">
      <formula>"No"</formula>
    </cfRule>
    <cfRule type="cellIs" dxfId="89" priority="188" operator="equal">
      <formula>"Yes"</formula>
    </cfRule>
    <cfRule type="cellIs" dxfId="88" priority="185" operator="equal">
      <formula>"Partial"</formula>
    </cfRule>
  </conditionalFormatting>
  <conditionalFormatting sqref="B118:B122">
    <cfRule type="cellIs" dxfId="87" priority="184" operator="equal">
      <formula>"Yes"</formula>
    </cfRule>
    <cfRule type="cellIs" dxfId="86" priority="183" operator="equal">
      <formula>"No"</formula>
    </cfRule>
    <cfRule type="cellIs" dxfId="85" priority="182" operator="equal">
      <formula>"No"</formula>
    </cfRule>
    <cfRule type="cellIs" dxfId="84" priority="181" operator="equal">
      <formula>"Partial"</formula>
    </cfRule>
  </conditionalFormatting>
  <conditionalFormatting sqref="B124:B128">
    <cfRule type="cellIs" dxfId="83" priority="180" operator="equal">
      <formula>"Yes"</formula>
    </cfRule>
    <cfRule type="cellIs" dxfId="82" priority="179" operator="equal">
      <formula>"No"</formula>
    </cfRule>
    <cfRule type="cellIs" dxfId="81" priority="178" operator="equal">
      <formula>"No"</formula>
    </cfRule>
    <cfRule type="cellIs" dxfId="80" priority="177" operator="equal">
      <formula>"Partial"</formula>
    </cfRule>
  </conditionalFormatting>
  <conditionalFormatting sqref="B131:B135">
    <cfRule type="cellIs" dxfId="79" priority="58" operator="equal">
      <formula>"No"</formula>
    </cfRule>
    <cfRule type="cellIs" dxfId="78" priority="57" operator="equal">
      <formula>"Partial"</formula>
    </cfRule>
    <cfRule type="cellIs" dxfId="77" priority="60" operator="equal">
      <formula>"Yes"</formula>
    </cfRule>
    <cfRule type="cellIs" dxfId="76" priority="59" operator="equal">
      <formula>"No"</formula>
    </cfRule>
  </conditionalFormatting>
  <conditionalFormatting sqref="B137:B141">
    <cfRule type="cellIs" dxfId="75" priority="172" operator="equal">
      <formula>"Yes"</formula>
    </cfRule>
    <cfRule type="cellIs" dxfId="74" priority="171" operator="equal">
      <formula>"No"</formula>
    </cfRule>
    <cfRule type="cellIs" dxfId="73" priority="170" operator="equal">
      <formula>"No"</formula>
    </cfRule>
    <cfRule type="cellIs" dxfId="72" priority="169" operator="equal">
      <formula>"Partial"</formula>
    </cfRule>
  </conditionalFormatting>
  <conditionalFormatting sqref="B143:B147">
    <cfRule type="cellIs" dxfId="71" priority="165" operator="equal">
      <formula>"Partial"</formula>
    </cfRule>
    <cfRule type="cellIs" dxfId="70" priority="168" operator="equal">
      <formula>"Yes"</formula>
    </cfRule>
    <cfRule type="cellIs" dxfId="69" priority="167" operator="equal">
      <formula>"No"</formula>
    </cfRule>
    <cfRule type="cellIs" dxfId="68" priority="166" operator="equal">
      <formula>"No"</formula>
    </cfRule>
  </conditionalFormatting>
  <conditionalFormatting sqref="B149:B153">
    <cfRule type="cellIs" dxfId="67" priority="53" operator="equal">
      <formula>"Partial"</formula>
    </cfRule>
    <cfRule type="cellIs" dxfId="66" priority="54" operator="equal">
      <formula>"No"</formula>
    </cfRule>
    <cfRule type="cellIs" dxfId="65" priority="55" operator="equal">
      <formula>"No"</formula>
    </cfRule>
    <cfRule type="cellIs" dxfId="64" priority="56" operator="equal">
      <formula>"Yes"</formula>
    </cfRule>
  </conditionalFormatting>
  <conditionalFormatting sqref="B156:B160">
    <cfRule type="cellIs" dxfId="63" priority="52" operator="equal">
      <formula>"Yes"</formula>
    </cfRule>
    <cfRule type="cellIs" dxfId="62" priority="50" operator="equal">
      <formula>"No"</formula>
    </cfRule>
    <cfRule type="cellIs" dxfId="61" priority="51" operator="equal">
      <formula>"No"</formula>
    </cfRule>
    <cfRule type="cellIs" dxfId="60" priority="49" operator="equal">
      <formula>"Partial"</formula>
    </cfRule>
  </conditionalFormatting>
  <conditionalFormatting sqref="B162:B166">
    <cfRule type="cellIs" dxfId="59" priority="45" operator="equal">
      <formula>"Partial"</formula>
    </cfRule>
    <cfRule type="cellIs" dxfId="58" priority="47" operator="equal">
      <formula>"No"</formula>
    </cfRule>
    <cfRule type="cellIs" dxfId="57" priority="46" operator="equal">
      <formula>"No"</formula>
    </cfRule>
    <cfRule type="cellIs" dxfId="56" priority="48" operator="equal">
      <formula>"Yes"</formula>
    </cfRule>
  </conditionalFormatting>
  <conditionalFormatting sqref="B168:B172">
    <cfRule type="cellIs" dxfId="55" priority="150" operator="equal">
      <formula>"No"</formula>
    </cfRule>
    <cfRule type="cellIs" dxfId="54" priority="151" operator="equal">
      <formula>"No"</formula>
    </cfRule>
    <cfRule type="cellIs" dxfId="53" priority="152" operator="equal">
      <formula>"Yes"</formula>
    </cfRule>
    <cfRule type="cellIs" dxfId="52" priority="149" operator="equal">
      <formula>"Partial"</formula>
    </cfRule>
  </conditionalFormatting>
  <conditionalFormatting sqref="B174:B178">
    <cfRule type="cellIs" dxfId="51" priority="40" operator="equal">
      <formula>"Yes"</formula>
    </cfRule>
    <cfRule type="cellIs" dxfId="50" priority="39" operator="equal">
      <formula>"No"</formula>
    </cfRule>
    <cfRule type="cellIs" dxfId="49" priority="38" operator="equal">
      <formula>"No"</formula>
    </cfRule>
    <cfRule type="cellIs" dxfId="48" priority="37" operator="equal">
      <formula>"Partial"</formula>
    </cfRule>
  </conditionalFormatting>
  <conditionalFormatting sqref="B181:B185">
    <cfRule type="cellIs" dxfId="47" priority="33" operator="equal">
      <formula>"Partial"</formula>
    </cfRule>
    <cfRule type="cellIs" dxfId="46" priority="34" operator="equal">
      <formula>"No"</formula>
    </cfRule>
    <cfRule type="cellIs" dxfId="45" priority="35" operator="equal">
      <formula>"No"</formula>
    </cfRule>
    <cfRule type="cellIs" dxfId="44" priority="36" operator="equal">
      <formula>"Yes"</formula>
    </cfRule>
  </conditionalFormatting>
  <conditionalFormatting sqref="B187:B191">
    <cfRule type="cellIs" dxfId="43" priority="31" operator="equal">
      <formula>"No"</formula>
    </cfRule>
    <cfRule type="cellIs" dxfId="42" priority="29" operator="equal">
      <formula>"Partial"</formula>
    </cfRule>
    <cfRule type="cellIs" dxfId="41" priority="30" operator="equal">
      <formula>"No"</formula>
    </cfRule>
    <cfRule type="cellIs" dxfId="40" priority="32" operator="equal">
      <formula>"Yes"</formula>
    </cfRule>
  </conditionalFormatting>
  <conditionalFormatting sqref="B193:B197">
    <cfRule type="cellIs" dxfId="39" priority="136" operator="equal">
      <formula>"Yes"</formula>
    </cfRule>
    <cfRule type="cellIs" dxfId="38" priority="135" operator="equal">
      <formula>"No"</formula>
    </cfRule>
    <cfRule type="cellIs" dxfId="37" priority="134" operator="equal">
      <formula>"No"</formula>
    </cfRule>
    <cfRule type="cellIs" dxfId="36" priority="133" operator="equal">
      <formula>"Partial"</formula>
    </cfRule>
  </conditionalFormatting>
  <conditionalFormatting sqref="B199:B203">
    <cfRule type="cellIs" dxfId="35" priority="132" operator="equal">
      <formula>"Yes"</formula>
    </cfRule>
    <cfRule type="cellIs" dxfId="34" priority="131" operator="equal">
      <formula>"No"</formula>
    </cfRule>
    <cfRule type="cellIs" dxfId="33" priority="130" operator="equal">
      <formula>"No"</formula>
    </cfRule>
    <cfRule type="cellIs" dxfId="32" priority="129" operator="equal">
      <formula>"Partial"</formula>
    </cfRule>
  </conditionalFormatting>
  <conditionalFormatting sqref="B206:B209">
    <cfRule type="cellIs" dxfId="31" priority="28" operator="equal">
      <formula>"Yes"</formula>
    </cfRule>
    <cfRule type="cellIs" dxfId="30" priority="27" operator="equal">
      <formula>"No"</formula>
    </cfRule>
    <cfRule type="cellIs" dxfId="29" priority="26" operator="equal">
      <formula>"No"</formula>
    </cfRule>
    <cfRule type="cellIs" dxfId="28" priority="25" operator="equal">
      <formula>"Partial"</formula>
    </cfRule>
  </conditionalFormatting>
  <conditionalFormatting sqref="B211:B215">
    <cfRule type="cellIs" dxfId="27" priority="22" operator="equal">
      <formula>"No"</formula>
    </cfRule>
    <cfRule type="cellIs" dxfId="26" priority="23" operator="equal">
      <formula>"No"</formula>
    </cfRule>
    <cfRule type="cellIs" dxfId="25" priority="24" operator="equal">
      <formula>"Yes"</formula>
    </cfRule>
    <cfRule type="cellIs" dxfId="24" priority="21" operator="equal">
      <formula>"Partial"</formula>
    </cfRule>
  </conditionalFormatting>
  <conditionalFormatting sqref="B217:B221">
    <cfRule type="cellIs" dxfId="23" priority="117" operator="equal">
      <formula>"Partial"</formula>
    </cfRule>
    <cfRule type="cellIs" dxfId="22" priority="120" operator="equal">
      <formula>"Yes"</formula>
    </cfRule>
    <cfRule type="cellIs" dxfId="21" priority="119" operator="equal">
      <formula>"No"</formula>
    </cfRule>
    <cfRule type="cellIs" dxfId="20" priority="118" operator="equal">
      <formula>"No"</formula>
    </cfRule>
  </conditionalFormatting>
  <conditionalFormatting sqref="B223:B227">
    <cfRule type="cellIs" dxfId="19" priority="17" operator="equal">
      <formula>"Partial"</formula>
    </cfRule>
    <cfRule type="cellIs" dxfId="18" priority="18" operator="equal">
      <formula>"No"</formula>
    </cfRule>
    <cfRule type="cellIs" dxfId="17" priority="19" operator="equal">
      <formula>"No"</formula>
    </cfRule>
    <cfRule type="cellIs" dxfId="16" priority="20" operator="equal">
      <formula>"Yes"</formula>
    </cfRule>
  </conditionalFormatting>
  <conditionalFormatting sqref="B230:B234">
    <cfRule type="cellIs" dxfId="15" priority="13" operator="equal">
      <formula>"Partial"</formula>
    </cfRule>
    <cfRule type="cellIs" dxfId="14" priority="16" operator="equal">
      <formula>"Yes"</formula>
    </cfRule>
    <cfRule type="cellIs" dxfId="13" priority="15" operator="equal">
      <formula>"No"</formula>
    </cfRule>
    <cfRule type="cellIs" dxfId="12" priority="14" operator="equal">
      <formula>"No"</formula>
    </cfRule>
  </conditionalFormatting>
  <conditionalFormatting sqref="B236:B240">
    <cfRule type="cellIs" dxfId="11" priority="105" operator="equal">
      <formula>"Partial"</formula>
    </cfRule>
    <cfRule type="cellIs" dxfId="10" priority="108" operator="equal">
      <formula>"Yes"</formula>
    </cfRule>
    <cfRule type="cellIs" dxfId="9" priority="107" operator="equal">
      <formula>"No"</formula>
    </cfRule>
    <cfRule type="cellIs" dxfId="8" priority="106" operator="equal">
      <formula>"No"</formula>
    </cfRule>
  </conditionalFormatting>
  <conditionalFormatting sqref="B242:B246">
    <cfRule type="cellIs" dxfId="7" priority="8" operator="equal">
      <formula>"Yes"</formula>
    </cfRule>
    <cfRule type="cellIs" dxfId="6" priority="7" operator="equal">
      <formula>"No"</formula>
    </cfRule>
    <cfRule type="cellIs" dxfId="5" priority="6" operator="equal">
      <formula>"No"</formula>
    </cfRule>
    <cfRule type="cellIs" dxfId="4" priority="5" operator="equal">
      <formula>"Partial"</formula>
    </cfRule>
  </conditionalFormatting>
  <conditionalFormatting sqref="B248:B255">
    <cfRule type="cellIs" dxfId="3" priority="4" operator="equal">
      <formula>"Yes"</formula>
    </cfRule>
    <cfRule type="cellIs" dxfId="2" priority="3" operator="equal">
      <formula>"No"</formula>
    </cfRule>
    <cfRule type="cellIs" dxfId="1" priority="2" operator="equal">
      <formula>"No"</formula>
    </cfRule>
    <cfRule type="cellIs" dxfId="0" priority="1" operator="equal">
      <formula>"Partial"</formula>
    </cfRule>
  </conditionalFormatting>
  <dataValidations count="2">
    <dataValidation type="list" allowBlank="1" showErrorMessage="1" sqref="E5:F10 E12:F16 E18:F22 E24:F28 E31:F35 E37:F41 E137:F141 E56:F60 E62:F66 E68:F72 E74:F78 E49:F53 E106:F110 E112:F116 E118:F122 E124:F128 E131:F135 E43:F47 E87:F91 E93:F97 E99:F103 E81:F85 E143:F147 E149:F153 E156:F160 E162:F166 E168:F172 E174:F178 E181:F185 E187:F191 E193:F197 E199:F203 E211:F215 E223:F227 E217:F221 E206:F209 E230:F234 E236:F240 E242:F246 E248:F252" xr:uid="{48C7DD74-F652-614D-840E-8BD87725BD9B}">
      <formula1>"High,Medium,Low"</formula1>
    </dataValidation>
    <dataValidation type="list" allowBlank="1" showErrorMessage="1" sqref="B68:B72 B230:B234 B5:B10 B242:B246 B12:B16 B24:B28 B124:B128 B43:B47 B49:B53 B18:B22 B62:B66 B37:B41 B87:B91 B93:B97 B106:B110 B112:B116 B118:B122 B31:B35 B56:B60 B81:B85 B74:B78 B236:B240 B99:B103 B137:B141 B143:B147 B131:B135 B149:B153 B156:B160 B168:B172 B162:B166 B174:B178 B181:B185 B199:B203 B206:B209 B187:B191 B193:B197 B217:B221 B211:B215 B223:B227 B248:B252" xr:uid="{F9718FE3-DAF9-7C48-B3ED-89292F3B14C1}">
      <formula1>"Yes,Partial,No,N/A"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82D3-5B25-F24F-9F68-EF9785910276}">
  <dimension ref="A1:M21"/>
  <sheetViews>
    <sheetView workbookViewId="0">
      <selection activeCell="J30" sqref="J30"/>
    </sheetView>
  </sheetViews>
  <sheetFormatPr baseColWidth="10" defaultRowHeight="13" x14ac:dyDescent="0.15"/>
  <sheetData>
    <row r="1" spans="1:13" x14ac:dyDescent="0.15">
      <c r="A1" s="53" t="s">
        <v>541</v>
      </c>
      <c r="B1" s="54"/>
      <c r="C1" s="54"/>
      <c r="D1" s="54"/>
      <c r="E1" s="54"/>
      <c r="F1" s="55">
        <f>SUM(Questionnaire!C5:C252)</f>
        <v>6</v>
      </c>
      <c r="G1" s="55"/>
      <c r="H1" s="55"/>
      <c r="I1" s="55"/>
      <c r="J1" s="52" t="str">
        <f>IF(F15&lt;0.4,"Weak",IF(F15&lt;0.7,"Fair",IF(F15&lt;0.85,"Good","Strong")))</f>
        <v>Fair</v>
      </c>
      <c r="K1" s="52"/>
      <c r="L1" s="52"/>
      <c r="M1" s="52"/>
    </row>
    <row r="2" spans="1:13" x14ac:dyDescent="0.15">
      <c r="A2" s="54"/>
      <c r="B2" s="54"/>
      <c r="C2" s="54"/>
      <c r="D2" s="54"/>
      <c r="E2" s="54"/>
      <c r="F2" s="55"/>
      <c r="G2" s="55"/>
      <c r="H2" s="55"/>
      <c r="I2" s="55"/>
      <c r="J2" s="52"/>
      <c r="K2" s="52"/>
      <c r="L2" s="52"/>
      <c r="M2" s="52"/>
    </row>
    <row r="3" spans="1:13" x14ac:dyDescent="0.15">
      <c r="A3" s="54"/>
      <c r="B3" s="54"/>
      <c r="C3" s="54"/>
      <c r="D3" s="54"/>
      <c r="E3" s="54"/>
      <c r="F3" s="55"/>
      <c r="G3" s="55"/>
      <c r="H3" s="55"/>
      <c r="I3" s="55"/>
      <c r="J3" s="52"/>
      <c r="K3" s="52"/>
      <c r="L3" s="52"/>
      <c r="M3" s="52"/>
    </row>
    <row r="4" spans="1:13" x14ac:dyDescent="0.15">
      <c r="A4" s="54"/>
      <c r="B4" s="54"/>
      <c r="C4" s="54"/>
      <c r="D4" s="54"/>
      <c r="E4" s="54"/>
      <c r="F4" s="55"/>
      <c r="G4" s="55"/>
      <c r="H4" s="55"/>
      <c r="I4" s="55"/>
      <c r="J4" s="52"/>
      <c r="K4" s="52"/>
      <c r="L4" s="52"/>
      <c r="M4" s="52"/>
    </row>
    <row r="5" spans="1:13" x14ac:dyDescent="0.15">
      <c r="A5" s="54"/>
      <c r="B5" s="54"/>
      <c r="C5" s="54"/>
      <c r="D5" s="54"/>
      <c r="E5" s="54"/>
      <c r="F5" s="55"/>
      <c r="G5" s="55"/>
      <c r="H5" s="55"/>
      <c r="I5" s="55"/>
      <c r="J5" s="52"/>
      <c r="K5" s="52"/>
      <c r="L5" s="52"/>
      <c r="M5" s="52"/>
    </row>
    <row r="6" spans="1:13" x14ac:dyDescent="0.15">
      <c r="A6" s="54"/>
      <c r="B6" s="54"/>
      <c r="C6" s="54"/>
      <c r="D6" s="54"/>
      <c r="E6" s="54"/>
      <c r="F6" s="55"/>
      <c r="G6" s="55"/>
      <c r="H6" s="55"/>
      <c r="I6" s="55"/>
      <c r="J6" s="52"/>
      <c r="K6" s="52"/>
      <c r="L6" s="52"/>
      <c r="M6" s="52"/>
    </row>
    <row r="7" spans="1:13" x14ac:dyDescent="0.15">
      <c r="A7" s="54"/>
      <c r="B7" s="54"/>
      <c r="C7" s="54"/>
      <c r="D7" s="54"/>
      <c r="E7" s="54"/>
      <c r="F7" s="55"/>
      <c r="G7" s="55"/>
      <c r="H7" s="55"/>
      <c r="I7" s="55"/>
      <c r="J7" s="52"/>
      <c r="K7" s="52"/>
      <c r="L7" s="52"/>
      <c r="M7" s="52"/>
    </row>
    <row r="8" spans="1:13" x14ac:dyDescent="0.15">
      <c r="A8" s="53" t="s">
        <v>542</v>
      </c>
      <c r="B8" s="54"/>
      <c r="C8" s="54"/>
      <c r="D8" s="54"/>
      <c r="E8" s="54"/>
      <c r="F8" s="55">
        <f>(COUNTIFS(Questionnaire!B5:B252,"Yes") + COUNTIFS(Questionnaire!B5:B252,"Partial") + COUNTIFS(Questionnaire!B5:B252,"No")) * 2</f>
        <v>10</v>
      </c>
      <c r="G8" s="55"/>
      <c r="H8" s="55"/>
      <c r="I8" s="55"/>
      <c r="J8" s="52"/>
      <c r="K8" s="52"/>
      <c r="L8" s="52"/>
      <c r="M8" s="52"/>
    </row>
    <row r="9" spans="1:13" x14ac:dyDescent="0.15">
      <c r="A9" s="54"/>
      <c r="B9" s="54"/>
      <c r="C9" s="54"/>
      <c r="D9" s="54"/>
      <c r="E9" s="54"/>
      <c r="F9" s="55"/>
      <c r="G9" s="55"/>
      <c r="H9" s="55"/>
      <c r="I9" s="55"/>
      <c r="J9" s="52"/>
      <c r="K9" s="52"/>
      <c r="L9" s="52"/>
      <c r="M9" s="52"/>
    </row>
    <row r="10" spans="1:13" x14ac:dyDescent="0.15">
      <c r="A10" s="54"/>
      <c r="B10" s="54"/>
      <c r="C10" s="54"/>
      <c r="D10" s="54"/>
      <c r="E10" s="54"/>
      <c r="F10" s="55"/>
      <c r="G10" s="55"/>
      <c r="H10" s="55"/>
      <c r="I10" s="55"/>
      <c r="J10" s="52"/>
      <c r="K10" s="52"/>
      <c r="L10" s="52"/>
      <c r="M10" s="52"/>
    </row>
    <row r="11" spans="1:13" x14ac:dyDescent="0.15">
      <c r="A11" s="54"/>
      <c r="B11" s="54"/>
      <c r="C11" s="54"/>
      <c r="D11" s="54"/>
      <c r="E11" s="54"/>
      <c r="F11" s="55"/>
      <c r="G11" s="55"/>
      <c r="H11" s="55"/>
      <c r="I11" s="55"/>
      <c r="J11" s="52"/>
      <c r="K11" s="52"/>
      <c r="L11" s="52"/>
      <c r="M11" s="52"/>
    </row>
    <row r="12" spans="1:13" x14ac:dyDescent="0.15">
      <c r="A12" s="54"/>
      <c r="B12" s="54"/>
      <c r="C12" s="54"/>
      <c r="D12" s="54"/>
      <c r="E12" s="54"/>
      <c r="F12" s="55"/>
      <c r="G12" s="55"/>
      <c r="H12" s="55"/>
      <c r="I12" s="55"/>
      <c r="J12" s="52"/>
      <c r="K12" s="52"/>
      <c r="L12" s="52"/>
      <c r="M12" s="52"/>
    </row>
    <row r="13" spans="1:13" x14ac:dyDescent="0.15">
      <c r="A13" s="54"/>
      <c r="B13" s="54"/>
      <c r="C13" s="54"/>
      <c r="D13" s="54"/>
      <c r="E13" s="54"/>
      <c r="F13" s="55"/>
      <c r="G13" s="55"/>
      <c r="H13" s="55"/>
      <c r="I13" s="55"/>
      <c r="J13" s="52"/>
      <c r="K13" s="52"/>
      <c r="L13" s="52"/>
      <c r="M13" s="52"/>
    </row>
    <row r="14" spans="1:13" x14ac:dyDescent="0.15">
      <c r="A14" s="54"/>
      <c r="B14" s="54"/>
      <c r="C14" s="54"/>
      <c r="D14" s="54"/>
      <c r="E14" s="54"/>
      <c r="F14" s="55"/>
      <c r="G14" s="55"/>
      <c r="H14" s="55"/>
      <c r="I14" s="55"/>
      <c r="J14" s="52"/>
      <c r="K14" s="52"/>
      <c r="L14" s="52"/>
      <c r="M14" s="52"/>
    </row>
    <row r="15" spans="1:13" x14ac:dyDescent="0.15">
      <c r="A15" s="53" t="s">
        <v>540</v>
      </c>
      <c r="B15" s="54"/>
      <c r="C15" s="54"/>
      <c r="D15" s="54"/>
      <c r="E15" s="54"/>
      <c r="F15" s="56">
        <f>Questionnaire!C253 / Questionnaire!C254</f>
        <v>0.6</v>
      </c>
      <c r="G15" s="56"/>
      <c r="H15" s="56"/>
      <c r="I15" s="56"/>
      <c r="J15" s="52"/>
      <c r="K15" s="52"/>
      <c r="L15" s="52"/>
      <c r="M15" s="52"/>
    </row>
    <row r="16" spans="1:13" x14ac:dyDescent="0.15">
      <c r="A16" s="54"/>
      <c r="B16" s="54"/>
      <c r="C16" s="54"/>
      <c r="D16" s="54"/>
      <c r="E16" s="54"/>
      <c r="F16" s="56"/>
      <c r="G16" s="56"/>
      <c r="H16" s="56"/>
      <c r="I16" s="56"/>
      <c r="J16" s="52"/>
      <c r="K16" s="52"/>
      <c r="L16" s="52"/>
      <c r="M16" s="52"/>
    </row>
    <row r="17" spans="1:13" x14ac:dyDescent="0.15">
      <c r="A17" s="54"/>
      <c r="B17" s="54"/>
      <c r="C17" s="54"/>
      <c r="D17" s="54"/>
      <c r="E17" s="54"/>
      <c r="F17" s="56"/>
      <c r="G17" s="56"/>
      <c r="H17" s="56"/>
      <c r="I17" s="56"/>
      <c r="J17" s="52"/>
      <c r="K17" s="52"/>
      <c r="L17" s="52"/>
      <c r="M17" s="52"/>
    </row>
    <row r="18" spans="1:13" x14ac:dyDescent="0.15">
      <c r="A18" s="54"/>
      <c r="B18" s="54"/>
      <c r="C18" s="54"/>
      <c r="D18" s="54"/>
      <c r="E18" s="54"/>
      <c r="F18" s="56"/>
      <c r="G18" s="56"/>
      <c r="H18" s="56"/>
      <c r="I18" s="56"/>
      <c r="J18" s="52"/>
      <c r="K18" s="52"/>
      <c r="L18" s="52"/>
      <c r="M18" s="52"/>
    </row>
    <row r="19" spans="1:13" x14ac:dyDescent="0.15">
      <c r="A19" s="54"/>
      <c r="B19" s="54"/>
      <c r="C19" s="54"/>
      <c r="D19" s="54"/>
      <c r="E19" s="54"/>
      <c r="F19" s="56"/>
      <c r="G19" s="56"/>
      <c r="H19" s="56"/>
      <c r="I19" s="56"/>
      <c r="J19" s="52"/>
      <c r="K19" s="52"/>
      <c r="L19" s="52"/>
      <c r="M19" s="52"/>
    </row>
    <row r="20" spans="1:13" x14ac:dyDescent="0.15">
      <c r="A20" s="54"/>
      <c r="B20" s="54"/>
      <c r="C20" s="54"/>
      <c r="D20" s="54"/>
      <c r="E20" s="54"/>
      <c r="F20" s="56"/>
      <c r="G20" s="56"/>
      <c r="H20" s="56"/>
      <c r="I20" s="56"/>
      <c r="J20" s="52"/>
      <c r="K20" s="52"/>
      <c r="L20" s="52"/>
      <c r="M20" s="52"/>
    </row>
    <row r="21" spans="1:13" x14ac:dyDescent="0.15">
      <c r="A21" s="54"/>
      <c r="B21" s="54"/>
      <c r="C21" s="54"/>
      <c r="D21" s="54"/>
      <c r="E21" s="54"/>
      <c r="F21" s="56"/>
      <c r="G21" s="56"/>
      <c r="H21" s="56"/>
      <c r="I21" s="56"/>
      <c r="J21" s="52"/>
      <c r="K21" s="52"/>
      <c r="L21" s="52"/>
      <c r="M21" s="52"/>
    </row>
  </sheetData>
  <mergeCells count="7">
    <mergeCell ref="J1:M21"/>
    <mergeCell ref="A1:E7"/>
    <mergeCell ref="F1:I7"/>
    <mergeCell ref="A8:E14"/>
    <mergeCell ref="A15:E21"/>
    <mergeCell ref="F8:I14"/>
    <mergeCell ref="F15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Version Control</vt:lpstr>
      <vt:lpstr>Questionnaire Template</vt:lpstr>
      <vt:lpstr>Questionnaire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Tayyab Hameed</cp:lastModifiedBy>
  <dcterms:created xsi:type="dcterms:W3CDTF">2025-05-13T22:51:40Z</dcterms:created>
  <dcterms:modified xsi:type="dcterms:W3CDTF">2025-12-18T11:28:05Z</dcterms:modified>
</cp:coreProperties>
</file>